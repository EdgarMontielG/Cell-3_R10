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7" fillId="6"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4"/>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F39, C09</t>
        </is>
      </c>
      <c r="J4" s="6" t="inlineStr">
        <is>
          <t>En proceso</t>
        </is>
      </c>
      <c r="K4" s="6" t="inlineStr"/>
      <c r="L4" s="6" t="inlineStr"/>
      <c r="M4" s="6" t="inlineStr"/>
      <c r="N4" s="6" t="inlineStr"/>
      <c r="O4" s="7" t="inlineStr">
        <is>
          <t>Avance del programador</t>
        </is>
      </c>
      <c r="P4" s="7" t="inlineStr">
        <is>
          <t>2026-10-11</t>
        </is>
      </c>
      <c r="Q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is>
          <t>G05</t>
        </is>
      </c>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G04, C28</t>
        </is>
      </c>
      <c r="J6" s="6" t="inlineStr">
        <is>
          <t>Abierto</t>
        </is>
      </c>
      <c r="K6" s="6" t="inlineStr"/>
      <c r="L6" s="6" t="inlineStr"/>
      <c r="M6" s="6" t="inlineStr"/>
      <c r="N6" s="6" t="inlineStr"/>
      <c r="O6" s="7" t="inlineStr">
        <is>
          <t>Avance del programador</t>
        </is>
      </c>
      <c r="P6" s="7" t="inlineStr">
        <is>
          <t>2026-10-11</t>
        </is>
      </c>
      <c r="Q6" s="7" t="inlineStr">
        <is>
          <t>Respaldo del 10/10 (versión de oficina del 05/10 cargada + cambios suyos del 06 al 10/10). Borró 8 módulos sobrantes (14 archivos). Quedan capchange, electrodechange, redrabbit (no compila) y POUNCE.</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Estándar Gestamp</t>
        </is>
      </c>
      <c r="P7" s="7" t="inlineStr">
        <is>
          <t>2026-10-11</t>
        </is>
      </c>
      <c r="Q7" s="7" t="inlineStr">
        <is>
          <t>Respaldo del 10/10 (versión de oficina del 05/10 cargada + cambios suyos del 06 al 10/10). sps.sub escribe do111Gun1ElectrodeChange = dipw1_EndOfStepper y el estado del stepper al PLC, y cell.src llama GunElectrodeChange con do111, como el respaldo de Gestamp. Depende de que Gestamp resetee el stepper en el Bosch.</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10" t="inlineStr">
        <is>
          <t>F19, G21</t>
        </is>
      </c>
      <c r="J9" s="10" t="inlineStr">
        <is>
          <t>Aceptado sin cambio</t>
        </is>
      </c>
      <c r="K9" s="10" t="inlineStr"/>
      <c r="L9" s="10" t="inlineStr"/>
      <c r="M9" s="10" t="inlineStr"/>
      <c r="N9" s="10" t="inlineStr"/>
      <c r="O9" s="10" t="inlineStr">
        <is>
          <t>Estándar Gestamp</t>
        </is>
      </c>
      <c r="P9" s="10" t="inlineStr">
        <is>
          <t>2026-10-11</t>
        </is>
      </c>
      <c r="Q9" s="10" t="inlineStr">
        <is>
          <t>El red rabbit de Gestamp (Style1Opt10AutoRR) tiene pick y drop propios y usa el nut check de producción. El nuestro tiene la misma estructura y además corre la cámara. Aceptado sin cambio (igual que R20); el cierre final lo acepta Gestamp. El resultado sigue en G21/F19.</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C01, C16</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F33</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F07</t>
        </is>
      </c>
      <c r="J12" s="10" t="inlineStr">
        <is>
          <t>Cerrado - auditado</t>
        </is>
      </c>
      <c r="K12" s="10" t="inlineStr"/>
      <c r="L12" s="10" t="inlineStr"/>
      <c r="M12" s="10" t="inlineStr"/>
      <c r="N12" s="10" t="inlineStr"/>
      <c r="O12" s="10" t="inlineStr">
        <is>
          <t>Cerrado - auditado</t>
        </is>
      </c>
      <c r="P12" s="10" t="inlineStr">
        <is>
          <t>2026-10-11</t>
        </is>
      </c>
      <c r="Q12" s="10" t="inlineStr">
        <is>
          <t>Respaldo del 10/10 (versión de oficina del 05/10 cargada + cambios suyos del 06 al 10/10). Sin GOTO ni etiquetas en ningún módulo activo (solo quedaban en trigger1-3, que ya borró).</t>
        </is>
      </c>
    </row>
    <row r="13">
      <c r="A13" s="9" t="inlineStr">
        <is>
          <t>G12</t>
        </is>
      </c>
      <c r="B13" s="10" t="inlineStr">
        <is>
          <t>Gestamp #12</t>
        </is>
      </c>
      <c r="C13" s="14" t="inlineStr">
        <is>
          <t>Medio</t>
        </is>
      </c>
      <c r="D13" s="10" t="inlineStr">
        <is>
          <t>Nombres de señal en lugar de números de E/S
Gestamp: "Use of I/O numbers instead of signal names"</t>
        </is>
      </c>
      <c r="E13" s="10" t="inlineStr">
        <is>
          <t>Código + prueba en celda</t>
        </is>
      </c>
      <c r="F13" s="10" t="inlineStr">
        <is>
          <t>Programador robot (prueba en celda)</t>
        </is>
      </c>
      <c r="G13" s="10" t="inlineStr">
        <is>
          <t>KRC/R1/Program/Centerline/centerline_weld.src, KRC/R1/Program/Centerline/PRELOAD.src, KRC/R1/Program/Centerline/CENTERLINE_HOME.src, KRC/R1/System/sps.sub, KRC/R1/TP/AutomationCore/automationcoreroutines.dat, KRC/R1/System/$config.dat</t>
        </is>
      </c>
      <c r="H13" s="10"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10" t="inlineStr">
        <is>
          <t>F17, C23, F29</t>
        </is>
      </c>
      <c r="J13" s="10" t="inlineStr">
        <is>
          <t>Cerrado - auditado</t>
        </is>
      </c>
      <c r="K13" s="10" t="inlineStr"/>
      <c r="L13" s="10" t="inlineStr"/>
      <c r="M13" s="10" t="inlineStr"/>
      <c r="N13" s="10" t="inlineStr"/>
      <c r="O13" s="10" t="inlineStr">
        <is>
          <t>Cerrado - auditado</t>
        </is>
      </c>
      <c r="P13" s="10" t="inlineStr">
        <is>
          <t>2026-10-11</t>
        </is>
      </c>
      <c r="Q13" s="10" t="inlineStr">
        <is>
          <t>Respaldo del 10/10 (versión de oficina del 05/10 cargada + cambios suyos del 06 al 10/10). Sin $IN/$OUT con número fuera de inline forms en los módulos activos: el pedestal usa los nombres de la versión de oficina (do498..do505, di466, di467, di470).</t>
        </is>
      </c>
    </row>
    <row r="14">
      <c r="A14" s="9" t="inlineStr">
        <is>
          <t>G13</t>
        </is>
      </c>
      <c r="B14" s="10" t="inlineStr">
        <is>
          <t>Gestamp #13</t>
        </is>
      </c>
      <c r="C14" s="14" t="inlineStr">
        <is>
          <t>Medio</t>
        </is>
      </c>
      <c r="D14" s="10" t="inlineStr">
        <is>
          <t>Código simplificado (nut present en una línea, duplicados fuera)
Gestamp: "Poor programming (10 lines for nut present)"</t>
        </is>
      </c>
      <c r="E14" s="10" t="inlineStr">
        <is>
          <t>Código + prueba en celda</t>
        </is>
      </c>
      <c r="F14" s="10" t="inlineStr">
        <is>
          <t>Programador robot (prueba en celda)</t>
        </is>
      </c>
      <c r="G14" s="10"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10"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10" t="inlineStr">
        <is>
          <t>F28, F03, F31</t>
        </is>
      </c>
      <c r="J14" s="10" t="inlineStr">
        <is>
          <t>Cerrado - auditado</t>
        </is>
      </c>
      <c r="K14" s="10" t="inlineStr"/>
      <c r="L14" s="10" t="inlineStr"/>
      <c r="M14" s="10" t="inlineStr"/>
      <c r="N14" s="10" t="inlineStr"/>
      <c r="O14" s="10" t="inlineStr">
        <is>
          <t>Cerrado - auditado</t>
        </is>
      </c>
      <c r="P14" s="10" t="inlineStr">
        <is>
          <t>2026-10-11</t>
        </is>
      </c>
      <c r="Q14" s="10" t="inlineStr">
        <is>
          <t>Respaldo del 10/10 (versión de oficina del 05/10 cargada + cambios suyos del 06 al 10/10). Nut check como Gestamp: WAIT SEC 0.2 y después PARTPRESENTn = di227NutPresent1 (style1app2opt1.src:65-68, igual en las 3 tuercas).</t>
        </is>
      </c>
    </row>
    <row r="15">
      <c r="A15" s="9" t="inlineStr">
        <is>
          <t>G14</t>
        </is>
      </c>
      <c r="B15" s="10" t="inlineStr">
        <is>
          <t>Gestamp #14</t>
        </is>
      </c>
      <c r="C15" s="14" t="inlineStr">
        <is>
          <t>Medio</t>
        </is>
      </c>
      <c r="D15" s="10" t="inlineStr">
        <is>
          <t>Revisar gripper vacío antes del comando de gripper
Gestamp: "Gripper opened before the part control check"</t>
        </is>
      </c>
      <c r="E15" s="10" t="inlineStr">
        <is>
          <t>Código + prueba en celda</t>
        </is>
      </c>
      <c r="F15" s="10" t="inlineStr">
        <is>
          <t>Programador robot (prueba en celda)</t>
        </is>
      </c>
      <c r="G15" s="10" t="inlineStr">
        <is>
          <t>KRC/R1/Program/StylePicks/Options/style1pick1opt1.src, KRC/R1/Program/StylePicks/Options/style1pick1opt2.src, KRC/R1/Program/StylePicks/Options/style1pick1opt1AutoRR.src</t>
        </is>
      </c>
      <c r="H15" s="10" t="inlineStr">
        <is>
          <t>• En los tres picks la espera de gripper vacío está antes del primer comando de gripper.
• Prueba en T1: con una pieza en el gripper al iniciar el pick, el robot se queda en la espera sin mover el gripper. Anotar fecha.</t>
        </is>
      </c>
      <c r="I15" s="10" t="inlineStr"/>
      <c r="J15" s="10" t="inlineStr">
        <is>
          <t>Cerrado - auditado</t>
        </is>
      </c>
      <c r="K15" s="10" t="inlineStr"/>
      <c r="L15" s="10" t="inlineStr"/>
      <c r="M15" s="10" t="inlineStr"/>
      <c r="N15" s="10" t="inlineStr"/>
      <c r="O15" s="10" t="inlineStr">
        <is>
          <t>Cerrado - auditado</t>
        </is>
      </c>
      <c r="P15" s="10" t="inlineStr">
        <is>
          <t>2026-10-11</t>
        </is>
      </c>
      <c r="Q15" s="10" t="inlineStr">
        <is>
          <t>Respaldo del 10/10 (versión de oficina del 05/10 cargada + cambios suyos del 06 al 10/10). En los picks la espera de gripper vacío va antes del primer GRPg_SetStateAndCheck (style1pick1opt1.src:37 y :46).</t>
        </is>
      </c>
    </row>
    <row r="16">
      <c r="A16" s="9" t="inlineStr">
        <is>
          <t>G15</t>
        </is>
      </c>
      <c r="B16" s="10" t="inlineStr">
        <is>
          <t>Gestamp #15</t>
        </is>
      </c>
      <c r="C16" s="11" t="inlineStr">
        <is>
          <t>Bajo</t>
        </is>
      </c>
      <c r="D16" s="10" t="inlineStr">
        <is>
          <t>Nombres, variables y comentarios en inglés
Gestamp: "Names, variables and comments not in English"</t>
        </is>
      </c>
      <c r="E16" s="10" t="inlineStr">
        <is>
          <t>Código</t>
        </is>
      </c>
      <c r="F16" s="10" t="inlineStr">
        <is>
          <t>Programador robot (prueba en celda)</t>
        </is>
      </c>
      <c r="G16" s="10"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10"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10" t="inlineStr">
        <is>
          <t>C26, F36</t>
        </is>
      </c>
      <c r="J16" s="10" t="inlineStr">
        <is>
          <t>Cerrado - auditado</t>
        </is>
      </c>
      <c r="K16" s="10" t="inlineStr"/>
      <c r="L16" s="10" t="inlineStr"/>
      <c r="M16" s="10" t="inlineStr"/>
      <c r="N16" s="10" t="inlineStr"/>
      <c r="O16" s="10" t="inlineStr">
        <is>
          <t>Cerrado - auditado</t>
        </is>
      </c>
      <c r="P16" s="10" t="inlineStr">
        <is>
          <t>2026-10-11</t>
        </is>
      </c>
      <c r="Q16" s="10" t="inlineStr">
        <is>
          <t>Respaldo del 10/10 (versión de oficina del 05/10 cargada + cambios suyos del 06 al 10/10). Nombres corregidos (CameraJudgment, PartRejected, di227NutPresent1, NUT_START). Quedan la carpeta Styles/optiones y el texto del encabezado de dos forms OUT 106: errores de dedo, no impiden el cierre (como NUT_STAR en R20).</t>
        </is>
      </c>
    </row>
    <row r="17">
      <c r="A17" s="9" t="inlineStr">
        <is>
          <t>G16</t>
        </is>
      </c>
      <c r="B17" s="10" t="inlineStr">
        <is>
          <t>Gestamp #16</t>
        </is>
      </c>
      <c r="C17" s="14" t="inlineStr">
        <is>
          <t>Medio</t>
        </is>
      </c>
      <c r="D17" s="10" t="inlineStr">
        <is>
          <t>Constantes para límites de carrera, presiones y tiempos
Gestamp: "NO variables for e.g. stroke limits"</t>
        </is>
      </c>
      <c r="E17" s="10" t="inlineStr">
        <is>
          <t>Código + prueba en celda</t>
        </is>
      </c>
      <c r="F17" s="10" t="inlineStr">
        <is>
          <t>Programador robot (prueba en celda)</t>
        </is>
      </c>
      <c r="G17" s="10" t="inlineStr">
        <is>
          <t>KRC/R1/System/$config.dat, KRC/R1/Program/Centerline/centerline_weld.src, KRC/R1/Program/Centerline/CENTERLINE_HOME.src</t>
        </is>
      </c>
      <c r="H17" s="10" t="inlineStr">
        <is>
          <t>• No quedan esos números en líneas ejecutables de CENTERLINE_WELD / CENTERLINE_HOME.
• Un ciclo de soldadura completo en automático; valores leídos en el display de variables iguales a los del fold CENTERLINE CONTROL. Anotar fecha.</t>
        </is>
      </c>
      <c r="I17" s="10" t="inlineStr">
        <is>
          <t>F16, F44, F41</t>
        </is>
      </c>
      <c r="J17" s="10" t="inlineStr">
        <is>
          <t>Cerrado - auditado</t>
        </is>
      </c>
      <c r="K17" s="10" t="inlineStr"/>
      <c r="L17" s="10" t="inlineStr"/>
      <c r="M17" s="10" t="inlineStr"/>
      <c r="N17" s="10" t="inlineStr"/>
      <c r="O17" s="10" t="inlineStr">
        <is>
          <t>Cerrado - auditado</t>
        </is>
      </c>
      <c r="P17" s="10" t="inlineStr">
        <is>
          <t>2026-10-11</t>
        </is>
      </c>
      <c r="Q17" s="10" t="inlineStr">
        <is>
          <t>Respaldo del 10/10 (versión de oficina del 05/10 cargada + cambios suyos del 06 al 10/10). CENTERLINE_WELD y CENTERLINE_HOME usan las constantes de $config.dat (ventana, tiempos, presiones, programa Bosch).</t>
        </is>
      </c>
    </row>
    <row r="18">
      <c r="A18" s="9" t="inlineStr">
        <is>
          <t>G17</t>
        </is>
      </c>
      <c r="B18" s="10" t="inlineStr">
        <is>
          <t>Gestamp #17</t>
        </is>
      </c>
      <c r="C18" s="11" t="inlineStr">
        <is>
          <t>Bajo</t>
        </is>
      </c>
      <c r="D18" s="10" t="inlineStr">
        <is>
          <t>Lógica Nut_weld_Retry inútil
Gestamp: "Nut_weld_Retry logic useless"</t>
        </is>
      </c>
      <c r="E18" s="10" t="inlineStr">
        <is>
          <t>Código</t>
        </is>
      </c>
      <c r="F18" s="10" t="inlineStr">
        <is>
          <t>Programador robot (prueba en celda)</t>
        </is>
      </c>
      <c r="G18" s="10" t="inlineStr">
        <is>
          <t>KRC/R1/Program/StyleApps/Options/style1app1opt1.src, KRC/R1/Program/StyleApps/Options/style1app1opt2.src, KRC/R1/Program/StyleApps/Options/style1app1opt3.src, KRC/R1/System/$config.dat</t>
        </is>
      </c>
      <c r="H18" s="10" t="inlineStr">
        <is>
          <t>• NUT_WELD_RETRY y RETRY_NUT1 no aparecen en el respaldo.
• Un ciclo completo en automático con las 3 tuercas, sin errores. Anotar fecha.</t>
        </is>
      </c>
      <c r="I18" s="10" t="inlineStr">
        <is>
          <t>F24</t>
        </is>
      </c>
      <c r="J18" s="10" t="inlineStr">
        <is>
          <t>Cerrado - auditado</t>
        </is>
      </c>
      <c r="K18" s="10" t="inlineStr"/>
      <c r="L18" s="10" t="inlineStr"/>
      <c r="M18" s="10" t="inlineStr"/>
      <c r="N18" s="10" t="inlineStr"/>
      <c r="O18" s="10" t="inlineStr">
        <is>
          <t>Cerrado - auditado</t>
        </is>
      </c>
      <c r="P18" s="10" t="inlineStr">
        <is>
          <t>2026-10-11</t>
        </is>
      </c>
      <c r="Q18" s="10" t="inlineStr">
        <is>
          <t>Respaldo del 10/10 (versión de oficina del 05/10 cargada + cambios suyos del 06 al 10/10). El retry ya funciona: si la pistola cierra abajo de la ventana (sin tuerca) no suelda, el robot se queda, pide otra tuerca y suelda otra vez (NUT_WELD_RETRY, tope nNutRetryMax=1, mensaje NUT_RETRY_MSG); como el REPEAT UNTIL de Gestamp con tope. Llevaba 8 reintentos (nNutRetryTotal) en el respaldo.</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t>
        </is>
      </c>
      <c r="I19" s="10" t="inlineStr">
        <is>
          <t>F08</t>
        </is>
      </c>
      <c r="J19" s="10" t="inlineStr">
        <is>
          <t>Aceptado sin cambio</t>
        </is>
      </c>
      <c r="K19" s="10" t="inlineStr"/>
      <c r="L19" s="10" t="inlineStr"/>
      <c r="M19" s="10" t="inlineStr"/>
      <c r="N19" s="10" t="inlineStr"/>
      <c r="O19" s="10" t="inlineStr">
        <is>
          <t>Avance del programador</t>
        </is>
      </c>
      <c r="P19" s="10" t="inlineStr">
        <is>
          <t>2026-10-11</t>
        </is>
      </c>
      <c r="Q19" s="10" t="inlineStr">
        <is>
          <t>Respaldo del 10/10 (versión de oficina del 05/10 cargada + cambios suyos del 06 al 10/10). Ahora además lee la falla del Bosch (WELD_COMPLETE_WAIT), igual que R20.</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9" t="inlineStr">
        <is>
          <t>G20</t>
        </is>
      </c>
      <c r="B21" s="10" t="inlineStr">
        <is>
          <t>Gestamp #20</t>
        </is>
      </c>
      <c r="C21" s="13" t="inlineStr">
        <is>
          <t>Alto</t>
        </is>
      </c>
      <c r="D21" s="10" t="inlineStr">
        <is>
          <t>Request_next_nut y NUT_START fuera de los inline forms
Gestamp: "Change of xP0 deletes Request_next_nut inside inline forms"</t>
        </is>
      </c>
      <c r="E21" s="10" t="inlineStr">
        <is>
          <t>Código + prueba en celda</t>
        </is>
      </c>
      <c r="F21" s="10" t="inlineStr">
        <is>
          <t>Programador robot (prueba en celda)</t>
        </is>
      </c>
      <c r="G2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10"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10" t="inlineStr">
        <is>
          <t>F32, F14</t>
        </is>
      </c>
      <c r="J21" s="10" t="inlineStr">
        <is>
          <t>Cerrado - auditado</t>
        </is>
      </c>
      <c r="K21" s="10" t="inlineStr"/>
      <c r="L21" s="10" t="inlineStr"/>
      <c r="M21" s="10" t="inlineStr"/>
      <c r="N21" s="10" t="inlineStr"/>
      <c r="O21" s="10" t="inlineStr">
        <is>
          <t>Cerrado - auditado</t>
        </is>
      </c>
      <c r="P21" s="10" t="inlineStr">
        <is>
          <t>2026-10-11</t>
        </is>
      </c>
      <c r="Q21" s="10" t="inlineStr">
        <is>
          <t>Respaldo del 10/10 (versión de oficina del 05/10 cargada + cambios suyos del 06 al 10/10). El TRIGGER de NUT_START en los picks va antes del fold del movimiento; Request_next_nut es una llamada después de soldar; los borrados del red rabbit quedaron fuera del fold DropOff[2] Reset. En los forms OUT 18/106 queda la misma salida escrita con su nombre (do018Part1InGripper, do106PartRejected): reabrir el form regenera la misma salida (igual que R20). La auditoría lo marca FAIL por no ver $OUT[n]; revisado: no es error.</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G08</t>
        </is>
      </c>
      <c r="J22" s="6" t="inlineStr">
        <is>
          <t>Abierto</t>
        </is>
      </c>
      <c r="K22" s="6" t="inlineStr"/>
      <c r="L22" s="6" t="inlineStr"/>
      <c r="M22" s="6" t="inlineStr"/>
      <c r="N22" s="6" t="inlineStr"/>
      <c r="O22" s="7" t="inlineStr">
        <is>
          <t>Sin cambio</t>
        </is>
      </c>
      <c r="P22" s="7" t="inlineStr">
        <is>
          <t>2026-10-11</t>
        </is>
      </c>
      <c r="Q22" s="7" t="inlineStr">
        <is>
          <t>Respaldo del 10/10 (versión de oficina del 05/10 cargada + cambios suyos del 06 al 10/10). El red rabbit sigue dando FAILED solo con las 3 tuercas (AND, style1app2opt1.src:164) y el drop red rabbit borra do141/do142 (ya fuera del fold).</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Abierto</t>
        </is>
      </c>
      <c r="K23" s="6" t="inlineStr"/>
      <c r="L23" s="6" t="inlineStr"/>
      <c r="M23" s="6" t="inlineStr"/>
      <c r="N23" s="6" t="inlineStr"/>
      <c r="O23" s="7" t="inlineStr">
        <is>
          <t>Estándar Gestamp</t>
        </is>
      </c>
      <c r="P23" s="7" t="inlineStr">
        <is>
          <t>2026-10-11</t>
        </is>
      </c>
      <c r="Q23" s="7" t="inlineStr">
        <is>
          <t>Gestamp nunca mandó su lista. Comparado con NUT07_10R1: C01 y C19 cumplen (AutomationCore_BKG activo, mismo código que R20), C14 queda solo en F47 y C12 se acepta (Gestamp no usa pounce en el ciclo). Quedan F12 (señales de NutWeld_BKG que usa el PLC), F20 (liberar Application 1 en el rechazo por nut check), F21 (5 forms con AC_CmdParam distinto a la llamada) y F46 (Work Complete).</t>
        </is>
      </c>
    </row>
    <row r="24">
      <c r="A24" s="9" t="inlineStr">
        <is>
          <t>F01</t>
        </is>
      </c>
      <c r="B24" s="10" t="inlineStr">
        <is>
          <t>Ethos</t>
        </is>
      </c>
      <c r="C24" s="15" t="inlineStr">
        <is>
          <t>Crítico</t>
        </is>
      </c>
      <c r="D24" s="10" t="inlineStr">
        <is>
          <t>Entrada al pedestal sin confirmar gun abierto, clamp abierto y QFP regresado</t>
        </is>
      </c>
      <c r="E24" s="10" t="inlineStr">
        <is>
          <t>Código + prueba en celda</t>
        </is>
      </c>
      <c r="F24" s="10" t="inlineStr">
        <is>
          <t>Programador robot</t>
        </is>
      </c>
      <c r="G24" s="10" t="inlineStr">
        <is>
          <t>KRC/R1/Program/StyleApps/Options/style1app1opt1.src, KRC/R1/Program/StyleApps/Options/style1app1opt2.src, KRC/R1/Program/StyleApps/Options/style1app1opt3.src, KRC/R1/Program/Centerline/PRELOAD.src, KRC/R1/Program/Centerline/centerline_weld.src</t>
        </is>
      </c>
      <c r="H24" s="10"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4" s="10" t="inlineStr"/>
      <c r="J24" s="10" t="inlineStr">
        <is>
          <t>Cerrado - auditado</t>
        </is>
      </c>
      <c r="K24" s="10" t="inlineStr"/>
      <c r="L24" s="10" t="inlineStr"/>
      <c r="M24" s="10" t="inlineStr"/>
      <c r="N24" s="10" t="inlineStr"/>
      <c r="O24" s="10" t="inlineStr">
        <is>
          <t>Cerrado - auditado</t>
        </is>
      </c>
      <c r="P24" s="10" t="inlineStr">
        <is>
          <t>2026-10-11</t>
        </is>
      </c>
      <c r="Q24" s="10" t="inlineStr">
        <is>
          <t>Respaldo del 10/10 (versión de oficina del 05/10 cargada + cambios suyos del 06 al 10/10). PEDESTAL_CLEAR_CHECK confirma pistola abierta, clamp abierto y pin superior retraído antes de entrar y de salir (detiene el avance, mensaje y espera); NUT_READY solo llega con el QFP visto regresado (PRELOAD paso 20); las interrupciones 20-24 vigilan pistola, submit, clamp y pin durante la entrada. Igual que R20, que lo cerró.</t>
        </is>
      </c>
    </row>
    <row r="25">
      <c r="A25" s="9" t="inlineStr">
        <is>
          <t>F02</t>
        </is>
      </c>
      <c r="B25" s="10" t="inlineStr">
        <is>
          <t>Ethos</t>
        </is>
      </c>
      <c r="C25" s="13" t="inlineStr">
        <is>
          <t>Alto</t>
        </is>
      </c>
      <c r="D25" s="10" t="inlineStr">
        <is>
          <t>Options 2, 7 y 8 no evalúan el sensor de tuercas: solo decide la cámara</t>
        </is>
      </c>
      <c r="E25" s="10" t="inlineStr">
        <is>
          <t>Código + prueba en celda</t>
        </is>
      </c>
      <c r="F25" s="10" t="inlineStr">
        <is>
          <t>Programador robot + Gestamp controles</t>
        </is>
      </c>
      <c r="G25" s="10" t="inlineStr">
        <is>
          <t>KRC/R1/Program/StyleApps/Options/style1app2opt1.src, KRC/R1/Program/StyleApps/Options/style1app2opt2.src, KRC/R1/Program/Styles/style_1.src, KRC/R1/Program/Styles/Options/style1opt1.src</t>
        </is>
      </c>
      <c r="H25" s="10"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25" s="10" t="inlineStr">
        <is>
          <t>G07</t>
        </is>
      </c>
      <c r="J25" s="10" t="inlineStr">
        <is>
          <t>Se cierra con otro punto</t>
        </is>
      </c>
      <c r="K25" s="10" t="inlineStr"/>
      <c r="L25" s="10" t="inlineStr"/>
      <c r="M25" s="10" t="inlineStr"/>
      <c r="N25" s="10" t="inlineStr"/>
      <c r="O25" s="10" t="inlineStr">
        <is>
          <t>Cambio de base</t>
        </is>
      </c>
      <c r="P25" s="10" t="inlineStr">
        <is>
          <t>2026-10-11</t>
        </is>
      </c>
      <c r="Q25" s="10" t="inlineStr">
        <is>
          <t>Base = programa del programador (respaldo del 2026-10-05 14:46). El nut check ya evalúa las options 1, 2, 7 y 8 y escribe bScrapGE4 TRUE o FALSE (style1app2opt1.src:140-145). Queda la definición de options: G07.</t>
        </is>
      </c>
    </row>
    <row r="26">
      <c r="A26" s="16"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Avance del programador</t>
        </is>
      </c>
      <c r="P26" s="7" t="inlineStr">
        <is>
          <t>2026-10-11</t>
        </is>
      </c>
      <c r="Q26" s="7" t="inlineStr">
        <is>
          <t>Respaldo del 10/10 (versión de oficina del 05/10 cargada + cambios suyos del 06 al 10/10). PARTPRESENTn se asigna TRUE o FALSE en cada lectura y el nut check pone bscrapGE4=FALSE al empezar y lo decide en CASE 1,2,7,8. Falta el reset al inicio del ciclo (antes del pick) y la prueba.</t>
        </is>
      </c>
    </row>
    <row r="27">
      <c r="A27" s="16"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6"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6"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6"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Avance del programador</t>
        </is>
      </c>
      <c r="P30" s="7" t="inlineStr">
        <is>
          <t>2026-10-11</t>
        </is>
      </c>
      <c r="Q30" s="7" t="inlineStr">
        <is>
          <t>Respaldo del 10/10 (versión de oficina del 05/10 cargada + cambios suyos del 06 al 10/10). GUN_CLOSE_FAULT da mensaje (sin tuerca / doble tuerca) y prende la luz roja; antes reintenta una vez con tuerca nueva (G17). Después del reintento sigue un HALT (centerline_weld.src:235). La ventana bajó de 300 a 150 ms (CL_GUN_IN_WINDOW_TIME): Gestamp pide la pistola estable 200 ms (SensorSettle).</t>
        </is>
      </c>
    </row>
    <row r="31">
      <c r="A31" s="9" t="inlineStr">
        <is>
          <t>F08</t>
        </is>
      </c>
      <c r="B31" s="10" t="inlineStr">
        <is>
          <t>Calvin #2</t>
        </is>
      </c>
      <c r="C31" s="13" t="inlineStr">
        <is>
          <t>Alto</t>
        </is>
      </c>
      <c r="D31" s="10" t="inlineStr">
        <is>
          <t>Resultado de soldadura Bosch no evaluado: weld complete se toma como soldadura buena</t>
        </is>
      </c>
      <c r="E31" s="10" t="inlineStr">
        <is>
          <t>Código + prueba en celda</t>
        </is>
      </c>
      <c r="F31" s="10" t="inlineStr">
        <is>
          <t>Programador robot + Gestamp controles</t>
        </is>
      </c>
      <c r="G31" s="10" t="inlineStr">
        <is>
          <t>KRC/R1/Program/Centerline/centerline_weld.src, KRC/R1/Program/Styles/Options/style1opt1.src</t>
        </is>
      </c>
      <c r="H31" s="10"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31" s="10" t="inlineStr">
        <is>
          <t>F44</t>
        </is>
      </c>
      <c r="J31" s="10" t="inlineStr">
        <is>
          <t>Aceptado sin cambio</t>
        </is>
      </c>
      <c r="K31" s="10" t="inlineStr"/>
      <c r="L31" s="10" t="inlineStr"/>
      <c r="M31" s="10" t="inlineStr"/>
      <c r="N31" s="10" t="inlineStr"/>
      <c r="O31" s="10" t="inlineStr">
        <is>
          <t>Avance del programador</t>
        </is>
      </c>
      <c r="P31" s="10" t="inlineStr">
        <is>
          <t>2026-10-11</t>
        </is>
      </c>
      <c r="Q31" s="10" t="inlineStr">
        <is>
          <t>Respaldo del 10/10 (versión de oficina del 05/10 cargada + cambios suyos del 06 al 10/10). WELD_COMPLETE_WAIT espera WeldComplete con timeout (CL_WELD_COMPLETE_TIMEOUT 3000 ms) y lee la falla del Bosch ($IN[485]) con mensaje y luz roja: ya hace más que el paquete NutWeld de Gestamp.</t>
        </is>
      </c>
    </row>
    <row r="32">
      <c r="A32" s="16"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6"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6" t="inlineStr">
        <is>
          <t>F11</t>
        </is>
      </c>
      <c r="B34" s="5" t="inlineStr">
        <is>
          <t>Ethos</t>
        </is>
      </c>
      <c r="C34" s="17"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6"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35" s="5" t="inlineStr">
        <is>
          <t>F17, F35</t>
        </is>
      </c>
      <c r="J35" s="6" t="inlineStr">
        <is>
          <t>En proceso</t>
        </is>
      </c>
      <c r="K35" s="6" t="inlineStr"/>
      <c r="L35" s="6" t="inlineStr"/>
      <c r="M35" s="6" t="inlineStr"/>
      <c r="N35" s="6" t="inlineStr"/>
      <c r="O35" s="7" t="inlineStr">
        <is>
          <t>Avance del programador</t>
        </is>
      </c>
      <c r="P35" s="7" t="inlineStr">
        <is>
          <t>2026-10-11</t>
        </is>
      </c>
      <c r="Q35" s="7" t="inlineStr">
        <is>
          <t>Respaldo del 10/10 (versión de oficina del 05/10 cargada + cambios suyos del 06 al 10/10). sps.sub replica las señales del soldador "como NUT07" (do046 weld mode, do107 tolva, do118 nut ready, do134 nut fault, do094 aire, do013 agua, estado del stepper) y mantiene habilitado el Bosch fuera de dry cycle. Se cierra cuando el PLC confirme que recibe las señales que usa.</t>
        </is>
      </c>
    </row>
    <row r="36">
      <c r="A36" s="16"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Avance del programador</t>
        </is>
      </c>
      <c r="P36" s="7" t="inlineStr">
        <is>
          <t>2026-10-11</t>
        </is>
      </c>
      <c r="Q36" s="7" t="inlineStr">
        <is>
          <t>Respaldo del 10/10 (versión de oficina del 05/10 cargada + cambios suyos del 06 al 10/10). El paso 20 termina con el QFP regresado ($IN[482]). Sin timeouts ni falla. La alimentación sigue por tiempo: 2000 ms + nFeedSettleMs (3000 ms desde el 10/10 porque "el alimentador sopla hasta 5 s" y faltaban tuercas) sin leer $IN[481] dipw1_FeedComplt: con el sensor la tuerca se confirma en cuanto llega.</t>
        </is>
      </c>
    </row>
    <row r="37">
      <c r="A37" s="16"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Avance del programador</t>
        </is>
      </c>
      <c r="P37" s="7" t="inlineStr">
        <is>
          <t>2026-10-11</t>
        </is>
      </c>
      <c r="Q37" s="7" t="inlineStr">
        <is>
          <t>Respaldo del 10/10 (versión de oficina del 05/10 cargada + cambios suyos del 06 al 10/10). Request_next_nut ya es una llamada después de CENTERLINE_WELD, no un TRIGGER. NUT_READY sigue sin borrarse al soldar: se borra cuando arranca el siguiente preload. Con la pre-alimentación (paso 30, 5 s con nFeedSettleMs=3000) la petición puede quedar en espera; si el paso 30 llegara a durar más que soldar y salir, el robot vería el NUT_READY de la tuerca anterior y entraría sin tuerca (hoy hay ~1.5 s de margen).</t>
        </is>
      </c>
    </row>
    <row r="38">
      <c r="A38" s="16"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6"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6"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6"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6"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42" s="5" t="inlineStr">
        <is>
          <t>F46, F31, F40, F03</t>
        </is>
      </c>
      <c r="J42" s="6" t="inlineStr">
        <is>
          <t>Abierto</t>
        </is>
      </c>
      <c r="K42" s="6" t="inlineStr"/>
      <c r="L42" s="6" t="inlineStr"/>
      <c r="M42" s="6" t="inlineStr"/>
      <c r="N42" s="6" t="inlineStr"/>
      <c r="O42" s="7" t="inlineStr">
        <is>
          <t>Sin cambio</t>
        </is>
      </c>
      <c r="P42" s="7" t="inlineStr">
        <is>
          <t>2026-10-11</t>
        </is>
      </c>
      <c r="Q42" s="7" t="inlineStr">
        <is>
          <t>Respaldo del 10/10 (versión de oficina del 05/10 cargada + cambios suyos del 06 al 10/10). El red rabbit sigue dando FAILED solo con las 3 tuercas (AND, style1app2opt1.src:164) y el drop red rabbit borra do141/do142 (ya fuera del fold).</t>
        </is>
      </c>
    </row>
    <row r="43">
      <c r="A43" s="9" t="inlineStr">
        <is>
          <t>F20</t>
        </is>
      </c>
      <c r="B43" s="10" t="inlineStr">
        <is>
          <t>Ethos</t>
        </is>
      </c>
      <c r="C43" s="14" t="inlineStr">
        <is>
          <t>Medio</t>
        </is>
      </c>
      <c r="D43" s="10" t="inlineStr">
        <is>
          <t>Rechazo por nut check: Application 1 sin liberar</t>
        </is>
      </c>
      <c r="E43" s="10" t="inlineStr">
        <is>
          <t>Código + prueba en celda</t>
        </is>
      </c>
      <c r="F43" s="10" t="inlineStr">
        <is>
          <t>Programador robot / Gestamp controles</t>
        </is>
      </c>
      <c r="G43" s="10" t="inlineStr">
        <is>
          <t>KRC/R1/Program/Utilities/RejectGE4.src, KRC/R1/Program/Styles/Options/style1opt1.src, KRC/R1/Program/StyleApps/Options/style1app2opt2.src</t>
        </is>
      </c>
      <c r="H43" s="10"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43" s="10" t="inlineStr">
        <is>
          <t>F21</t>
        </is>
      </c>
      <c r="J43" s="10" t="inlineStr">
        <is>
          <t>Cerrado - auditado</t>
        </is>
      </c>
      <c r="K43" s="10" t="inlineStr"/>
      <c r="L43" s="10" t="inlineStr"/>
      <c r="M43" s="10" t="inlineStr"/>
      <c r="N43" s="10" t="inlineStr"/>
      <c r="O43" s="10" t="inlineStr">
        <is>
          <t>Cerrado - auditado</t>
        </is>
      </c>
      <c r="P43" s="10" t="inlineStr">
        <is>
          <t>2026-10-11</t>
        </is>
      </c>
      <c r="Q43" s="10" t="inlineStr">
        <is>
          <t>Respaldo del 10/10 (versión de oficina del 05/10 cargada + cambios suyos del 06 al 10/10). RejectGE4 libera Application 1 con TRIGGER (do070ApplicationClear1, rejectge4.src:44), también tras un rechazo por nut check; el reject no pide drop-off, igual que Gestamp.</t>
        </is>
      </c>
    </row>
    <row r="44">
      <c r="A44" s="16"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44" s="5" t="inlineStr">
        <is>
          <t>F32</t>
        </is>
      </c>
      <c r="J44" s="6" t="inlineStr">
        <is>
          <t>Abierto</t>
        </is>
      </c>
      <c r="K44" s="6" t="inlineStr"/>
      <c r="L44" s="6" t="inlineStr"/>
      <c r="M44" s="6" t="inlineStr"/>
      <c r="N44" s="6" t="inlineStr"/>
      <c r="O44" s="7" t="inlineStr">
        <is>
          <t>Sin cambio</t>
        </is>
      </c>
      <c r="P44" s="7" t="inlineStr">
        <is>
          <t>2026-10-11</t>
        </is>
      </c>
      <c r="Q44" s="7" t="inlineStr">
        <is>
          <t>Respaldo del 10/10 (versión de oficina del 05/10 cargada + cambios suyos del 06 al 10/10). Siguen 4 forms con AC_CmdParam oculto distinto a la llamada: style1drop1opt1.src:49 AC_DropOffCheck(1) y :108 AC_DropOff(1) con oculto 2; style1pick1opt2.src:34 AC_pickUPCheck(2) y :138 AC_pickUP(2) con oculto 1.</t>
        </is>
      </c>
    </row>
    <row r="45">
      <c r="A45" s="16"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6" t="inlineStr">
        <is>
          <t>F23</t>
        </is>
      </c>
      <c r="B46" s="5" t="inlineStr">
        <is>
          <t>Ethos</t>
        </is>
      </c>
      <c r="C46" s="12"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9" t="inlineStr">
        <is>
          <t>F24</t>
        </is>
      </c>
      <c r="B47" s="10" t="inlineStr">
        <is>
          <t>Calvin #27</t>
        </is>
      </c>
      <c r="C47" s="11" t="inlineStr">
        <is>
          <t>Bajo</t>
        </is>
      </c>
      <c r="D47" s="10" t="inlineStr">
        <is>
          <t>Camino de retry de soldadura muerto: NUT_WELD_RETRY nunca es TRUE</t>
        </is>
      </c>
      <c r="E47" s="10" t="inlineStr">
        <is>
          <t>Código</t>
        </is>
      </c>
      <c r="F47" s="10" t="inlineStr">
        <is>
          <t>Programador robot (prueba en celda)</t>
        </is>
      </c>
      <c r="G47" s="10" t="inlineStr">
        <is>
          <t>KRC/R1/Program/StyleApps/Options/style1app1opt1.src, KRC/R1/Program/StyleApps/Options/style1app1opt2.src, KRC/R1/Program/StyleApps/Options/style1app1opt3.src, KRC/R1/System/$config.dat</t>
        </is>
      </c>
      <c r="H47" s="10" t="inlineStr">
        <is>
          <t>• Decisión anotada: A (borrar), Ethos, 2026-10-04, por el punto 17 de Gestamp.
• En KRC/R1 no aparece NUT_WELD_RETRY ni RETRY_NUT1.
• Un ciclo completo en automático con las 3 tuercas sin errores. Anotar fecha.</t>
        </is>
      </c>
      <c r="I47" s="10" t="inlineStr">
        <is>
          <t>G17</t>
        </is>
      </c>
      <c r="J47" s="10" t="inlineStr">
        <is>
          <t>Se cierra con otro punto</t>
        </is>
      </c>
      <c r="K47" s="10" t="inlineStr"/>
      <c r="L47" s="10" t="inlineStr"/>
      <c r="M47" s="10" t="inlineStr"/>
      <c r="N47" s="10" t="inlineStr"/>
      <c r="O47" s="10" t="inlineStr">
        <is>
          <t>Cambio de base</t>
        </is>
      </c>
      <c r="P47" s="10" t="inlineStr">
        <is>
          <t>2026-10-11</t>
        </is>
      </c>
      <c r="Q47" s="10" t="inlineStr">
        <is>
          <t>Base = programa del programador (respaldo del 2026-10-05 14:46). El camino de retry sigue muerto; se resuelve en G17.</t>
        </is>
      </c>
    </row>
    <row r="48">
      <c r="A48" s="16" t="inlineStr">
        <is>
          <t>F25</t>
        </is>
      </c>
      <c r="B48" s="5" t="inlineStr">
        <is>
          <t>Calvin #19</t>
        </is>
      </c>
      <c r="C48" s="12"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6" t="inlineStr">
        <is>
          <t>F26</t>
        </is>
      </c>
      <c r="B49" s="5" t="inlineStr">
        <is>
          <t>Ethos</t>
        </is>
      </c>
      <c r="C49" s="12"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Nota (F52)</t>
        </is>
      </c>
      <c r="P49" s="7" t="inlineStr">
        <is>
          <t>2026-10-07</t>
        </is>
      </c>
      <c r="Q49" s="7" t="inlineStr">
        <is>
          <t>PRELOAD ya no usa $TIMER[12]; la medición de tiempo ciclo usa $TIMER[20]. Dueños anotados en $config.dat.</t>
        </is>
      </c>
    </row>
    <row r="50">
      <c r="A50" s="16" t="inlineStr">
        <is>
          <t>F27</t>
        </is>
      </c>
      <c r="B50" s="5" t="inlineStr">
        <is>
          <t>Ethos</t>
        </is>
      </c>
      <c r="C50" s="12"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9" t="inlineStr">
        <is>
          <t>F28</t>
        </is>
      </c>
      <c r="B51" s="10" t="inlineStr">
        <is>
          <t>Ethos</t>
        </is>
      </c>
      <c r="C51" s="11" t="inlineStr">
        <is>
          <t>Bajo</t>
        </is>
      </c>
      <c r="D51" s="10" t="inlineStr">
        <is>
          <t>Sensor de tuerca leído al llegar al punto; el dwell iba después de la lectura</t>
        </is>
      </c>
      <c r="E51" s="10" t="inlineStr">
        <is>
          <t>Código + prueba en celda</t>
        </is>
      </c>
      <c r="F51" s="10" t="inlineStr">
        <is>
          <t>Programador robot (prueba en celda)</t>
        </is>
      </c>
      <c r="G51" s="10" t="inlineStr">
        <is>
          <t>KRC/R1/Program/StyleApps/Options/style1app2opt1.src</t>
        </is>
      </c>
      <c r="H51" s="10"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10" t="inlineStr">
        <is>
          <t>G13</t>
        </is>
      </c>
      <c r="J51" s="10" t="inlineStr">
        <is>
          <t>Se cierra con otro punto</t>
        </is>
      </c>
      <c r="K51" s="10" t="inlineStr"/>
      <c r="L51" s="10" t="inlineStr"/>
      <c r="M51" s="10" t="inlineStr"/>
      <c r="N51" s="10" t="inlineStr"/>
      <c r="O51" s="10" t="inlineStr">
        <is>
          <t>Cambio de base</t>
        </is>
      </c>
      <c r="P51" s="10" t="inlineStr">
        <is>
          <t>2026-10-11</t>
        </is>
      </c>
      <c r="Q51" s="10" t="inlineStr">
        <is>
          <t>Base = programa del programador (respaldo del 2026-10-05 14:46). El WAIT SEC 0.2 sigue después de leer $IN[227]; se resuelve en G13.</t>
        </is>
      </c>
    </row>
    <row r="52">
      <c r="A52" s="16" t="inlineStr">
        <is>
          <t>F29</t>
        </is>
      </c>
      <c r="B52" s="5" t="inlineStr">
        <is>
          <t>Ethos</t>
        </is>
      </c>
      <c r="C52" s="12"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6" t="inlineStr">
        <is>
          <t>F30</t>
        </is>
      </c>
      <c r="B53" s="5" t="inlineStr">
        <is>
          <t>Ethos</t>
        </is>
      </c>
      <c r="C53" s="12"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53" s="5" t="inlineStr"/>
      <c r="J53" s="6" t="inlineStr">
        <is>
          <t>En proceso</t>
        </is>
      </c>
      <c r="K53" s="6" t="inlineStr"/>
      <c r="L53" s="6" t="inlineStr"/>
      <c r="M53" s="6" t="inlineStr"/>
      <c r="N53" s="6" t="inlineStr"/>
      <c r="O53" s="7" t="inlineStr">
        <is>
          <t>Cambio de base</t>
        </is>
      </c>
      <c r="P53" s="7" t="inlineStr">
        <is>
          <t>2026-10-11</t>
        </is>
      </c>
      <c r="Q53" s="7"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54">
      <c r="A54" s="16"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9" t="inlineStr">
        <is>
          <t>F32</t>
        </is>
      </c>
      <c r="B55" s="10" t="inlineStr">
        <is>
          <t>Calvin #28</t>
        </is>
      </c>
      <c r="C55" s="14" t="inlineStr">
        <is>
          <t>Medio</t>
        </is>
      </c>
      <c r="D55" s="10" t="inlineStr">
        <is>
          <t>TRIGGERs y resets escritos a mano dentro de folds de inline form</t>
        </is>
      </c>
      <c r="E55" s="10" t="inlineStr">
        <is>
          <t>Código + prueba en celda</t>
        </is>
      </c>
      <c r="F55" s="10" t="inlineStr">
        <is>
          <t>Programador robot (prueba en celda)</t>
        </is>
      </c>
      <c r="G55"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10"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10" t="inlineStr">
        <is>
          <t>G20</t>
        </is>
      </c>
      <c r="J55" s="10" t="inlineStr">
        <is>
          <t>Se cierra con otro punto</t>
        </is>
      </c>
      <c r="K55" s="10" t="inlineStr"/>
      <c r="L55" s="10" t="inlineStr"/>
      <c r="M55" s="10" t="inlineStr"/>
      <c r="N55" s="10" t="inlineStr"/>
      <c r="O55" s="10" t="inlineStr">
        <is>
          <t>Cambio de base</t>
        </is>
      </c>
      <c r="P55" s="10" t="inlineStr">
        <is>
          <t>2026-10-11</t>
        </is>
      </c>
      <c r="Q55" s="10" t="inlineStr">
        <is>
          <t>Base = programa del programador (respaldo del 2026-10-05 14:46). Mismas líneas escritas a mano dentro de folds que G20.</t>
        </is>
      </c>
    </row>
    <row r="56">
      <c r="A56" s="16"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6" t="inlineStr">
        <is>
          <t>F34</t>
        </is>
      </c>
      <c r="B57" s="5" t="inlineStr">
        <is>
          <t>Ethos</t>
        </is>
      </c>
      <c r="C57" s="12"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6"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Nota</t>
        </is>
      </c>
      <c r="P58" s="7" t="inlineStr">
        <is>
          <t>2026-10-11</t>
        </is>
      </c>
      <c r="Q58" s="7" t="inlineStr">
        <is>
          <t>Respaldo del 10/10 (versión de oficina del 05/10 cargada + cambios suyos del 06 al 10/10). XREFSWITCH (switch de referencia) re-enseñado ~1 mm.</t>
        </is>
      </c>
    </row>
    <row r="59">
      <c r="A59" s="9" t="inlineStr">
        <is>
          <t>F36</t>
        </is>
      </c>
      <c r="B59" s="10" t="inlineStr">
        <is>
          <t>Ethos</t>
        </is>
      </c>
      <c r="C59" s="11" t="inlineStr">
        <is>
          <t>Bajo</t>
        </is>
      </c>
      <c r="D59" s="10" t="inlineStr">
        <is>
          <t>$IN[227] declarado con dos nombres (NUT_PRESENT1, di227SensorCamera)</t>
        </is>
      </c>
      <c r="E59" s="10" t="inlineStr">
        <is>
          <t>Código</t>
        </is>
      </c>
      <c r="F59" s="10" t="inlineStr">
        <is>
          <t>Programador robot (prueba en celda)</t>
        </is>
      </c>
      <c r="G59" s="10" t="inlineStr">
        <is>
          <t>KRC/R1/System/$config.dat, KRC/R1/TP/AutomationCore/automationcoreroutines.dat, KRC/R1/Program/StyleApps/Options/style1app2opt1.src, KRC/R1/Program/Styles/Options/style1opt1.src, KRC/R1/Program/Styles/Options/Style1Opt10AutoRR.src</t>
        </is>
      </c>
      <c r="H59" s="10"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59" s="10" t="inlineStr">
        <is>
          <t>C28</t>
        </is>
      </c>
      <c r="J59" s="10" t="inlineStr">
        <is>
          <t>Cerrado - auditado</t>
        </is>
      </c>
      <c r="K59" s="10" t="inlineStr"/>
      <c r="L59" s="10" t="inlineStr"/>
      <c r="M59" s="10" t="inlineStr"/>
      <c r="N59" s="10" t="inlineStr"/>
      <c r="O59" s="10" t="inlineStr">
        <is>
          <t>Cerrado - auditado</t>
        </is>
      </c>
      <c r="P59" s="10" t="inlineStr">
        <is>
          <t>2026-10-11</t>
        </is>
      </c>
      <c r="Q59" s="10" t="inlineStr">
        <is>
          <t>Respaldo del 10/10 (versión de oficina del 05/10 cargada + cambios suyos del 06 al 10/10). $IN[227] tiene una sola declaración: di227NutPresent1.</t>
        </is>
      </c>
    </row>
    <row r="60">
      <c r="A60" s="9" t="inlineStr">
        <is>
          <t>F37</t>
        </is>
      </c>
      <c r="B60" s="10" t="inlineStr">
        <is>
          <t>Calvin #1</t>
        </is>
      </c>
      <c r="C60" s="18" t="inlineStr">
        <is>
          <t>-</t>
        </is>
      </c>
      <c r="D60" s="10" t="inlineStr">
        <is>
          <t>Presión de intensificado no confirmada antes de weld start: no aplica en R10</t>
        </is>
      </c>
      <c r="E60" s="10" t="inlineStr">
        <is>
          <t>Sin acción</t>
        </is>
      </c>
      <c r="F60" s="10" t="inlineStr">
        <is>
          <t>Programador robot</t>
        </is>
      </c>
      <c r="G60" s="10" t="inlineStr">
        <is>
          <t>KRC/R1/Program/Centerline/centerline_weld.src</t>
        </is>
      </c>
      <c r="H60" s="10" t="inlineStr">
        <is>
          <t>• Se reabre si la espera de $IN[479] dipw1_IntensfPresOk de CENTERLINE_WELD se desactiva o se quita.</t>
        </is>
      </c>
      <c r="I60" s="10" t="inlineStr">
        <is>
          <t>F15, F44</t>
        </is>
      </c>
      <c r="J60" s="10" t="inlineStr">
        <is>
          <t>No aplica</t>
        </is>
      </c>
      <c r="K60" s="10" t="inlineStr"/>
      <c r="L60" s="10" t="inlineStr"/>
      <c r="M60" s="10" t="inlineStr"/>
      <c r="N60" s="10" t="inlineStr"/>
      <c r="O60" s="10" t="inlineStr">
        <is>
          <t>Alta (Calvin)</t>
        </is>
      </c>
      <c r="P60" s="10" t="inlineStr">
        <is>
          <t>2026-10-04</t>
        </is>
      </c>
      <c r="Q60" s="10" t="inlineStr">
        <is>
          <t>Revisión Ethos del respaldo 658424: el punto 1 de Calvin (20R1) no aplica en R10.</t>
        </is>
      </c>
    </row>
    <row r="61">
      <c r="A61" s="16"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6"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6"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6" t="inlineStr">
        <is>
          <t>F41</t>
        </is>
      </c>
      <c r="B64" s="5" t="inlineStr">
        <is>
          <t>Calvin Std 5</t>
        </is>
      </c>
      <c r="C64" s="12"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6" t="inlineStr">
        <is>
          <t>F42</t>
        </is>
      </c>
      <c r="B65" s="5" t="inlineStr">
        <is>
          <t>Calvin #30</t>
        </is>
      </c>
      <c r="C65" s="12"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6"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Estándar Gestamp</t>
        </is>
      </c>
      <c r="P66" s="7" t="inlineStr">
        <is>
          <t>2026-10-11</t>
        </is>
      </c>
      <c r="Q66" s="7" t="inlineStr">
        <is>
          <t>Respaldo del 10/10 (versión de oficina del 05/10 cargada + cambios suyos del 06 al 10/10). Mismo estado que G06.</t>
        </is>
      </c>
    </row>
    <row r="67">
      <c r="A67" s="16"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9" t="inlineStr">
        <is>
          <t>F45</t>
        </is>
      </c>
      <c r="B68" s="10" t="inlineStr">
        <is>
          <t>Calvin #23</t>
        </is>
      </c>
      <c r="C68" s="11" t="inlineStr">
        <is>
          <t>Bajo</t>
        </is>
      </c>
      <c r="D68" s="10" t="inlineStr">
        <is>
          <t>Rutinas de clamps: grippers 2-4 deshabilitados, solo existe el gripper 1</t>
        </is>
      </c>
      <c r="E68" s="10" t="inlineStr">
        <is>
          <t>Sin acción</t>
        </is>
      </c>
      <c r="F68" s="10" t="inlineStr">
        <is>
          <t>Programador robot</t>
        </is>
      </c>
      <c r="G68" s="10" t="inlineStr">
        <is>
          <t>KRC/R1/Program/Utilities/closeandcheckallclamps.src, KRC/R1/Program/Utilities/openandcheckallclamps.src, KRC/R1/TP/GripperSpotTech/grp_data.dat</t>
        </is>
      </c>
      <c r="H68" s="10" t="inlineStr">
        <is>
          <t>• Las rutinas siguen manejando solo el gripper 1 y su comentario lo dice (verificación de regresión en cada respaldo).
• Se reabre si el EOAT de R10 recibe un gripper 2-4 con función real.</t>
        </is>
      </c>
      <c r="I68" s="10" t="inlineStr"/>
      <c r="J68" s="10" t="inlineStr">
        <is>
          <t>Cerrado - depuración</t>
        </is>
      </c>
      <c r="K68" s="10" t="inlineStr"/>
      <c r="L68" s="10" t="inlineStr"/>
      <c r="M68" s="10" t="inlineStr"/>
      <c r="N68" s="10" t="inlineStr"/>
      <c r="O68" s="10" t="inlineStr">
        <is>
          <t>Alta (Calvin)</t>
        </is>
      </c>
      <c r="P68" s="10" t="inlineStr">
        <is>
          <t>2026-10-04</t>
        </is>
      </c>
      <c r="Q68" s="10" t="inlineStr">
        <is>
          <t>Revisión Ethos del respaldo 658424; el punto sale de la lista de Calvin (Calvin #23).</t>
        </is>
      </c>
    </row>
    <row r="69">
      <c r="A69" s="16"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Abierto</t>
        </is>
      </c>
      <c r="K69" s="6" t="inlineStr"/>
      <c r="L69" s="6" t="inlineStr"/>
      <c r="M69" s="6" t="inlineStr"/>
      <c r="N69" s="6" t="inlineStr"/>
      <c r="O69" s="7" t="inlineStr">
        <is>
          <t>Sin cambio</t>
        </is>
      </c>
      <c r="P69" s="7" t="inlineStr">
        <is>
          <t>2026-10-11</t>
        </is>
      </c>
      <c r="Q69" s="7" t="inlineStr">
        <is>
          <t>Respaldo del 10/10 (versión de oficina del 05/10 cargada + cambios suyos del 06 al 10/10). El EndOfCycle sigue con Work Complete comentado (automationcoreroutines.src:381-389).</t>
        </is>
      </c>
    </row>
    <row r="70">
      <c r="A70" s="16"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6" t="inlineStr">
        <is>
          <t>F48</t>
        </is>
      </c>
      <c r="B71" s="5" t="inlineStr">
        <is>
          <t>Ethos</t>
        </is>
      </c>
      <c r="C71" s="8" t="inlineStr">
        <is>
          <t>Alto</t>
        </is>
      </c>
      <c r="D71" s="5" t="inlineStr">
        <is>
          <t>Drop al conveyor: interlock de drop-off después de PTP P5;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71" s="5" t="inlineStr"/>
      <c r="J71" s="6" t="inlineStr">
        <is>
          <t>Abierto</t>
        </is>
      </c>
      <c r="K71" s="6" t="inlineStr"/>
      <c r="L71" s="6" t="inlineStr"/>
      <c r="M71" s="6" t="inlineStr"/>
      <c r="N71" s="6" t="inlineStr"/>
      <c r="O71" s="7" t="inlineStr">
        <is>
          <t>Sin cambio</t>
        </is>
      </c>
      <c r="P71" s="7" t="inlineStr">
        <is>
          <t>2026-10-11</t>
        </is>
      </c>
      <c r="Q71" s="7" t="inlineStr">
        <is>
          <t>Respaldo del 10/10 (versión de oficina del 05/10 cargada + cambios suyos del 06 al 10/10). AC_DropOffCheck(1) sigue después de PTP P5 (style1drop1opt1.src:38 y :49). P1 quitado.</t>
        </is>
      </c>
    </row>
    <row r="72">
      <c r="A72" s="9" t="inlineStr">
        <is>
          <t>F49</t>
        </is>
      </c>
      <c r="B72" s="10" t="inlineStr">
        <is>
          <t>Ethos</t>
        </is>
      </c>
      <c r="C72" s="13" t="inlineStr">
        <is>
          <t>Alto</t>
        </is>
      </c>
      <c r="D72" s="10" t="inlineStr">
        <is>
          <t>AutomationCore_BKG activado y editado sin decisión registrada</t>
        </is>
      </c>
      <c r="E72" s="10" t="inlineStr">
        <is>
          <t>Decisión Gestamp + código</t>
        </is>
      </c>
      <c r="F72" s="10" t="inlineStr">
        <is>
          <t>Gestamp controles + Programador robot</t>
        </is>
      </c>
      <c r="G72" s="10" t="inlineStr">
        <is>
          <t>KRC/R1/System/sps.sub, KRC/R1/TP/AutomationCore/automationcoreroutines.src, KRC/R1/TP/AutomationCore/automationcoreroutines.dat</t>
        </is>
      </c>
      <c r="H72" s="10"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10" t="inlineStr">
        <is>
          <t>F12, F43, C28</t>
        </is>
      </c>
      <c r="J72" s="10" t="inlineStr">
        <is>
          <t>Aceptado sin cambio</t>
        </is>
      </c>
      <c r="K72" s="10" t="inlineStr"/>
      <c r="L72" s="10" t="inlineStr"/>
      <c r="M72" s="10" t="inlineStr"/>
      <c r="N72" s="10" t="inlineStr"/>
      <c r="O72" s="10" t="inlineStr">
        <is>
          <t>Estándar Gestamp</t>
        </is>
      </c>
      <c r="P72" s="10" t="inlineStr">
        <is>
          <t>2026-10-11</t>
        </is>
      </c>
      <c r="Q72" s="10" t="inlineStr">
        <is>
          <t>AutomationCore_BKG activo, como en el sps.sub de Gestamp; las ediciones de la rutina son las mismas que en R20 salvo el EndOfCycle sin Work Complete, que sigue en F46.</t>
        </is>
      </c>
    </row>
    <row r="73">
      <c r="A73" s="16"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Sin cambio</t>
        </is>
      </c>
      <c r="P73" s="7" t="inlineStr">
        <is>
          <t>2026-10-11</t>
        </is>
      </c>
      <c r="Q73" s="7" t="inlineStr">
        <is>
          <t>Respaldo del 10/10 (versión de oficina del 05/10 cargada + cambios suyos del 06 al 10/10). AC_ApplicationCheck(1) sigue después de PTP P22, ahora con CONT (style1app2opt1.src:46 y :56); el CONT se pierde por el chequeo.</t>
        </is>
      </c>
    </row>
    <row r="74">
      <c r="A74" s="9" t="inlineStr">
        <is>
          <t>F51</t>
        </is>
      </c>
      <c r="B74" s="10" t="inlineStr">
        <is>
          <t>Ethos</t>
        </is>
      </c>
      <c r="C74" s="11" t="inlineStr">
        <is>
          <t>Bajo</t>
        </is>
      </c>
      <c r="D74" s="10" t="inlineStr">
        <is>
          <t>Apps de soldadura duplicadas por estación de pick (A/B): cada cambio va en las dos</t>
        </is>
      </c>
      <c r="E74" s="10" t="inlineStr">
        <is>
          <t>Sin acción</t>
        </is>
      </c>
      <c r="F74" s="10" t="inlineStr">
        <is>
          <t>Programador robot</t>
        </is>
      </c>
      <c r="G74" s="10" t="inlineStr">
        <is>
          <t>KRC/R1/Program/StyleApps/Options/style1app1opt1A..3B, KRC/R1/Program/Styles/Options/style1opt1.src</t>
        </is>
      </c>
      <c r="H74" s="10" t="inlineStr">
        <is>
          <t>• Documentado; se revisa en cada auditoría que A y B sigan iguales en código.</t>
        </is>
      </c>
      <c r="I74" s="10" t="inlineStr"/>
      <c r="J74" s="10" t="inlineStr">
        <is>
          <t>Sin acción - documentado</t>
        </is>
      </c>
      <c r="K74" s="10" t="inlineStr"/>
      <c r="L74" s="10" t="inlineStr"/>
      <c r="M74" s="10" t="inlineStr"/>
      <c r="N74" s="10" t="inlineStr"/>
      <c r="O74" s="10" t="inlineStr">
        <is>
          <t>Alta (auditoría)</t>
        </is>
      </c>
      <c r="P74" s="10" t="inlineStr">
        <is>
          <t>2026-10-05</t>
        </is>
      </c>
      <c r="Q74" s="10" t="inlineStr">
        <is>
          <t>Integrado en la versión depurada.</t>
        </is>
      </c>
    </row>
    <row r="75">
      <c r="A75" s="16" t="inlineStr">
        <is>
          <t>F52</t>
        </is>
      </c>
      <c r="B75" s="5" t="inlineStr">
        <is>
          <t>Ethos</t>
        </is>
      </c>
      <c r="C75" s="8" t="inlineStr">
        <is>
          <t>Alto</t>
        </is>
      </c>
      <c r="D75" s="5" t="inlineStr">
        <is>
          <t>Tiempo ciclo de R10: medir y bajarlo por debajo de R20 (la espera de tuerca antes de las tuercas 2 y 3 es la mayor parte)</t>
        </is>
      </c>
      <c r="E75" s="5" t="inlineStr">
        <is>
          <t>Código + prueba en celda</t>
        </is>
      </c>
      <c r="F75" s="5" t="inlineStr">
        <is>
          <t>Programador robot</t>
        </is>
      </c>
      <c r="G75" s="5" t="inlineStr">
        <is>
          <t>KRC/R1/Program/Centerline/PRELOAD.src, KRC/R1/Program/Centerline/centerline_weld.src, KRC/R1/Program/Centerline/Request_next_nut.src, KRC/R1/Program/Centerline/CL_CYCLE_TIME.src, KRC/R1/Program/StyleApps/Options/style1app1opt1A..3B, KRC/R1/System/$config.dat</t>
        </is>
      </c>
      <c r="H75" s="5" t="inlineStr">
        <is>
          <t>• Respaldo con 10 piezas seguidas en automático: nCtCycle, nCtWaitSum, nCtInWelder, nCtHomeWait y nCtPlcWait leídos.
• Meta de R10 confirmada con Edgar y alcanzada en automático, medida con nCtCycle (o el tiempo del PLC).
• Cada cambio de tiempo ciclo probado en T1 y a 100 % sin tocar el tiempo de soldadura, los chequeos de calidad ni los interlocks de seguridad.</t>
        </is>
      </c>
      <c r="I75" s="5" t="inlineStr"/>
      <c r="J75" s="6" t="inlineStr">
        <is>
          <t>En proceso</t>
        </is>
      </c>
      <c r="K75" s="6" t="inlineStr"/>
      <c r="L75" s="6" t="inlineStr"/>
      <c r="M75" s="6" t="inlineStr"/>
      <c r="N75" s="6" t="inlineStr"/>
      <c r="O75" s="7" t="inlineStr">
        <is>
          <t>Análisis</t>
        </is>
      </c>
      <c r="P75" s="7" t="inlineStr">
        <is>
          <t>2026-10-11</t>
        </is>
      </c>
      <c r="Q75" s="7" t="inlineStr">
        <is>
          <t>Palancas actualizadas con el respaldo del 10/10 (audits/2026-10-11_tiempo_ciclo/PALANCAS.es.md). Nuevo: la espera antes de leer la cámara pasó de 0.2 a 2.0 s (style1app2opt2.src:60; el comentario sigue diciendo 0.2 s), hasta 1.8 s por pieza: preguntar por qué; si el resultado tarda, esperar di100 o di101 con timeout. Quedan ~3.5-7 s por pieza en rangos, sin medir el ciclo completo.</t>
        </is>
      </c>
    </row>
    <row r="76">
      <c r="A76" s="9" t="inlineStr">
        <is>
          <t>F53</t>
        </is>
      </c>
      <c r="B76" s="10" t="inlineStr">
        <is>
          <t>Ethos</t>
        </is>
      </c>
      <c r="C76" s="13" t="inlineStr">
        <is>
          <t>Alto</t>
        </is>
      </c>
      <c r="D76" s="10" t="inlineStr">
        <is>
          <t>Tiempo ciclo del programador: pre-alimenta la tuerca, la pide con la pieza aún en la pistola, CONT/PTP y sin esperas de 0.2 s</t>
        </is>
      </c>
      <c r="E76" s="10" t="inlineStr">
        <is>
          <t>Prueba en celda</t>
        </is>
      </c>
      <c r="F76" s="10" t="inlineStr">
        <is>
          <t>Programador robot</t>
        </is>
      </c>
      <c r="G76" s="10" t="inlineStr">
        <is>
          <t>KRC/R1/Program/Centerline/preload.src, KRC/R1/Program/Centerline/centerline_weld.src, KRC/R1/Program/StyleApps/Options/style1app1opt1a..3b, KRC/R1/System/sps.sub, KRC/R1/System/$config.dat</t>
        </is>
      </c>
      <c r="H76" s="10" t="inlineStr">
        <is>
          <t>• Validado en celda por el programador (ciclos en automático sin tuerca faltante ni doble).</t>
        </is>
      </c>
      <c r="I76" s="10" t="inlineStr">
        <is>
          <t>F52</t>
        </is>
      </c>
      <c r="J76" s="10" t="inlineStr">
        <is>
          <t>Aceptado sin cambio</t>
        </is>
      </c>
      <c r="K76" s="10" t="inlineStr"/>
      <c r="L76" s="10" t="inlineStr"/>
      <c r="M76" s="10" t="inlineStr"/>
      <c r="N76" s="10" t="inlineStr"/>
      <c r="O76" s="10" t="inlineStr">
        <is>
          <t>Decisión</t>
        </is>
      </c>
      <c r="P76" s="10" t="inlineStr">
        <is>
          <t>2026-10-11</t>
        </is>
      </c>
      <c r="Q76" s="10" t="inlineStr">
        <is>
          <t>Aceptado por analogía con R20 F51 (decisión de Edgar del 2026-10-10).</t>
        </is>
      </c>
    </row>
    <row r="77">
      <c r="A77" s="9" t="inlineStr">
        <is>
          <t>C01</t>
        </is>
      </c>
      <c r="B77" s="10" t="inlineStr">
        <is>
          <t>Ethos</t>
        </is>
      </c>
      <c r="C77" s="18" t="inlineStr">
        <is>
          <t>-</t>
        </is>
      </c>
      <c r="D77" s="10" t="inlineStr">
        <is>
          <t>AutomationCore_Bkg deshabilitado: el estatus al PLC no se actualiza</t>
        </is>
      </c>
      <c r="E77" s="10" t="inlineStr">
        <is>
          <t>Decisión Gestamp</t>
        </is>
      </c>
      <c r="F77" s="10" t="inlineStr">
        <is>
          <t>Gestamp controles / Ethos (Edgar)</t>
        </is>
      </c>
      <c r="G77" s="10" t="inlineStr">
        <is>
          <t>KRC/R1/System/sps.sub, KRC/R1/TP/AutomationCore/automationcoreroutines.src</t>
        </is>
      </c>
      <c r="H77" s="10" t="inlineStr">
        <is>
          <t>• Se cierra cuando se cierra F12.</t>
        </is>
      </c>
      <c r="I77" s="10" t="inlineStr"/>
      <c r="J77" s="10" t="inlineStr">
        <is>
          <t>Cerrado - auditado</t>
        </is>
      </c>
      <c r="K77" s="10" t="inlineStr"/>
      <c r="L77" s="10" t="inlineStr"/>
      <c r="M77" s="10" t="inlineStr"/>
      <c r="N77" s="10" t="inlineStr"/>
      <c r="O77" s="10" t="inlineStr">
        <is>
          <t>Estándar Gestamp</t>
        </is>
      </c>
      <c r="P77" s="10" t="inlineStr">
        <is>
          <t>2026-10-11</t>
        </is>
      </c>
      <c r="Q77" s="10" t="inlineStr">
        <is>
          <t>AutomationCore_BKG activo en sps.sub desde el 2026-10-05, como en Gestamp; la rutina es la misma que en R20 salvo el EndOfCycle (F46).</t>
        </is>
      </c>
    </row>
    <row r="78">
      <c r="A78" s="16" t="inlineStr">
        <is>
          <t>C02</t>
        </is>
      </c>
      <c r="B78" s="5" t="inlineStr">
        <is>
          <t>Ethos</t>
        </is>
      </c>
      <c r="C78" s="19" t="inlineStr">
        <is>
          <t>-</t>
        </is>
      </c>
      <c r="D78" s="5" t="inlineStr">
        <is>
          <t>Designación BMW-03-10-R1 en los encabezados; confirmar formato con Gestamp</t>
        </is>
      </c>
      <c r="E78" s="5" t="inlineStr">
        <is>
          <t>Información Gestamp</t>
        </is>
      </c>
      <c r="F78" s="5" t="inlineStr">
        <is>
          <t>Ethos (Edgar) / Gestamp controles</t>
        </is>
      </c>
      <c r="G78"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8" s="5" t="inlineStr">
        <is>
          <t>• Confirmación escrita de Gestamp del formato, nombre de línea y códigos de dispositivo.
• Los encabezados del respaldo usan ese formato; los módulos nuevos también.</t>
        </is>
      </c>
      <c r="I78" s="5" t="inlineStr"/>
      <c r="J78" s="6" t="inlineStr">
        <is>
          <t>Requiere decisión</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9" t="inlineStr">
        <is>
          <t>C03</t>
        </is>
      </c>
      <c r="B79" s="10" t="inlineStr">
        <is>
          <t>Ethos</t>
        </is>
      </c>
      <c r="C79" s="18" t="inlineStr">
        <is>
          <t>-</t>
        </is>
      </c>
      <c r="D79" s="10" t="inlineStr">
        <is>
          <t>Encabezado estándar Gestamp en cada módulo del integrador</t>
        </is>
      </c>
      <c r="E79" s="10" t="inlineStr">
        <is>
          <t>Sin acción</t>
        </is>
      </c>
      <c r="F79" s="10" t="inlineStr">
        <is>
          <t>Programador robot</t>
        </is>
      </c>
      <c r="G79"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9" s="10" t="inlineStr">
        <is>
          <t>• Ningún módulo que hoy tiene el bloque '; Gestamp Standards' lo pierde en el respaldo.
• Todo .src nuevo del integrador trae el bloque completo (Gestamp Standards / Line / Robot 03-10-R1 (designación) / Application) y un &amp;COMMENT con 03-10-R1.</t>
        </is>
      </c>
      <c r="I79" s="10" t="inlineStr"/>
      <c r="J79" s="10" t="inlineStr">
        <is>
          <t>Cerrado - depuración</t>
        </is>
      </c>
      <c r="K79" s="10" t="inlineStr"/>
      <c r="L79" s="10" t="inlineStr"/>
      <c r="M79" s="10" t="inlineStr"/>
      <c r="N79" s="10" t="inlineStr"/>
      <c r="O79" s="10" t="inlineStr">
        <is>
          <t>Alta (Ethos)</t>
        </is>
      </c>
      <c r="P79" s="10" t="inlineStr">
        <is>
          <t>2026-10-04</t>
        </is>
      </c>
      <c r="Q79" s="10" t="inlineStr">
        <is>
          <t>Revisión Ethos del respaldo 658424 (v431_03_10_r1.zip del 2026-10-02).</t>
        </is>
      </c>
    </row>
    <row r="80">
      <c r="A80" s="16" t="inlineStr">
        <is>
          <t>C04</t>
        </is>
      </c>
      <c r="B80" s="5" t="inlineStr">
        <is>
          <t>Ethos</t>
        </is>
      </c>
      <c r="C80" s="19" t="inlineStr">
        <is>
          <t>-</t>
        </is>
      </c>
      <c r="D80" s="5" t="inlineStr">
        <is>
          <t>Movimientos de pedestal interpolados sobre el dado fijo (external TCP)</t>
        </is>
      </c>
      <c r="E80" s="5" t="inlineStr">
        <is>
          <t>Código + prueba en celda</t>
        </is>
      </c>
      <c r="F80" s="5" t="inlineStr">
        <is>
          <t>Ethos (Edgar) / Programador robot</t>
        </is>
      </c>
      <c r="G80" s="5" t="inlineStr">
        <is>
          <t>KRC/R1/Program/StyleApps/Options/style1app1opt1.src, KRC/R1/Program/StyleApps/Options/style1app1opt2.src, KRC/R1/Program/StyleApps/Options/style1app1opt3.src, KRC/R1/Program/Utilities/RejectGE4.src, KRC/R1/Program/StyleApps/Options/style1app2opt2.src</t>
        </is>
      </c>
      <c r="H80"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80" s="5" t="inlineStr">
        <is>
          <t>C05, F22</t>
        </is>
      </c>
      <c r="J80" s="6" t="inlineStr">
        <is>
          <t>Requiere decisión</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6" t="inlineStr">
        <is>
          <t>C05</t>
        </is>
      </c>
      <c r="B81" s="5" t="inlineStr">
        <is>
          <t>Ethos</t>
        </is>
      </c>
      <c r="C81" s="19" t="inlineStr">
        <is>
          <t>-</t>
        </is>
      </c>
      <c r="D81" s="5" t="inlineStr">
        <is>
          <t>TCP remoto del pedestal (BASE_DATA[3]) sin medir</t>
        </is>
      </c>
      <c r="E81" s="5" t="inlineStr">
        <is>
          <t>Confirmar en sitio</t>
        </is>
      </c>
      <c r="F81" s="5" t="inlineStr">
        <is>
          <t>Puesta en marcha / Programador robot</t>
        </is>
      </c>
      <c r="G81" s="5" t="inlineStr">
        <is>
          <t>KRC/R1/System/$config.dat, KRC/R1/Program/StyleApps/Options/style1app1opt1.src, KRC/R1/Program/StyleApps/Options/style1app1opt2.src, KRC/R1/Program/StyleApps/Options/style1app1opt3.src, KRC/R1/Program/Utilities/RejectGE4.src, KRC/R1/Program/StyleApps/Options/style1app2opt2.src</t>
        </is>
      </c>
      <c r="H81"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81" s="5" t="inlineStr"/>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6" t="inlineStr">
        <is>
          <t>C06</t>
        </is>
      </c>
      <c r="B82" s="5" t="inlineStr">
        <is>
          <t>Ethos</t>
        </is>
      </c>
      <c r="C82" s="19" t="inlineStr">
        <is>
          <t>-</t>
        </is>
      </c>
      <c r="D82" s="5" t="inlineStr">
        <is>
          <t>Herramientas y bases con nombre: nombres de otro proyecto</t>
        </is>
      </c>
      <c r="E82" s="5" t="inlineStr">
        <is>
          <t>Código + prueba en celda</t>
        </is>
      </c>
      <c r="F82" s="5" t="inlineStr">
        <is>
          <t>Programador robot</t>
        </is>
      </c>
      <c r="G82" s="5" t="inlineStr">
        <is>
          <t>KRC/R1/System/$config.dat, KRC/R1/TP/BrakeTest/braketeststart.src</t>
        </is>
      </c>
      <c r="H82"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2" s="5" t="inlineStr">
        <is>
          <t>F47</t>
        </is>
      </c>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6" t="inlineStr">
        <is>
          <t>C07</t>
        </is>
      </c>
      <c r="B83" s="5" t="inlineStr">
        <is>
          <t>Ethos</t>
        </is>
      </c>
      <c r="C83" s="19" t="inlineStr">
        <is>
          <t>-</t>
        </is>
      </c>
      <c r="D83" s="5" t="inlineStr">
        <is>
          <t>Un user frame por utillaje: picks, nut check, reject y drops en WORLD</t>
        </is>
      </c>
      <c r="E83" s="5" t="inlineStr">
        <is>
          <t>Decisión Gestamp</t>
        </is>
      </c>
      <c r="F83" s="5" t="inlineStr">
        <is>
          <t>Gestamp controles / Ethos (Edgar)</t>
        </is>
      </c>
      <c r="G83"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3"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3" s="5" t="inlineStr"/>
      <c r="J83" s="6" t="inlineStr">
        <is>
          <t>Requiere decisión</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6" t="inlineStr">
        <is>
          <t>C08</t>
        </is>
      </c>
      <c r="B84" s="5" t="inlineStr">
        <is>
          <t>Ethos</t>
        </is>
      </c>
      <c r="C84" s="19" t="inlineStr">
        <is>
          <t>-</t>
        </is>
      </c>
      <c r="D84" s="5" t="inlineStr">
        <is>
          <t>Datos de carga: LOAD_DATA[1] tecleado, sin determinar</t>
        </is>
      </c>
      <c r="E84" s="5" t="inlineStr">
        <is>
          <t>Código + prueba en celda</t>
        </is>
      </c>
      <c r="F84" s="5" t="inlineStr">
        <is>
          <t>Programador robot / Puesta en marcha</t>
        </is>
      </c>
      <c r="G84"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4" s="5"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4" s="5" t="inlineStr">
        <is>
          <t>G03, F39</t>
        </is>
      </c>
      <c r="J84" s="6" t="inlineStr">
        <is>
          <t>En proceso</t>
        </is>
      </c>
      <c r="K84" s="6" t="inlineStr"/>
      <c r="L84" s="6" t="inlineStr"/>
      <c r="M84" s="6" t="inlineStr"/>
      <c r="N84" s="6" t="inlineStr"/>
      <c r="O84" s="7" t="inlineStr">
        <is>
          <t>Avance del programador</t>
        </is>
      </c>
      <c r="P84" s="7" t="inlineStr">
        <is>
          <t>2026-10-11</t>
        </is>
      </c>
      <c r="Q8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85">
      <c r="A85" s="16" t="inlineStr">
        <is>
          <t>C09</t>
        </is>
      </c>
      <c r="B85" s="5" t="inlineStr">
        <is>
          <t>Ethos</t>
        </is>
      </c>
      <c r="C85" s="19" t="inlineStr">
        <is>
          <t>-</t>
        </is>
      </c>
      <c r="D85" s="5" t="inlineStr">
        <is>
          <t>Detección de colisión apagada en todo el programa; la reacción es un HALT</t>
        </is>
      </c>
      <c r="E85" s="5" t="inlineStr">
        <is>
          <t>Código + prueba en celda</t>
        </is>
      </c>
      <c r="F85" s="5" t="inlineStr">
        <is>
          <t>Programador robot / Puesta en marcha</t>
        </is>
      </c>
      <c r="G85"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5"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5" s="5" t="inlineStr">
        <is>
          <t>C08, F39</t>
        </is>
      </c>
      <c r="J85" s="6" t="inlineStr">
        <is>
          <t>Abierto</t>
        </is>
      </c>
      <c r="K85" s="6" t="inlineStr"/>
      <c r="L85" s="6" t="inlineStr"/>
      <c r="M85" s="6" t="inlineStr"/>
      <c r="N85" s="6" t="inlineStr"/>
      <c r="O85" s="7" t="inlineStr">
        <is>
          <t>Nota</t>
        </is>
      </c>
      <c r="P85" s="7" t="inlineStr">
        <is>
          <t>2026-10-11</t>
        </is>
      </c>
      <c r="Q85" s="7" t="inlineStr">
        <is>
          <t>Respaldo del 10/10 (versión de oficina del 05/10 cargada + cambios suyos del 06 al 10/10). tm_bib.dat: TQM_ACT T21..T26 bajaron de 100000 a 1000 (supervisión de par). Confirmar con el programador qué activó y si quedó probado.</t>
        </is>
      </c>
    </row>
    <row r="86">
      <c r="A86" s="16" t="inlineStr">
        <is>
          <t>C10</t>
        </is>
      </c>
      <c r="B86" s="5" t="inlineStr">
        <is>
          <t>Ethos</t>
        </is>
      </c>
      <c r="C86" s="19" t="inlineStr">
        <is>
          <t>-</t>
        </is>
      </c>
      <c r="D86" s="5" t="inlineStr">
        <is>
          <t>Falta el programa de mastering ZERO_G1</t>
        </is>
      </c>
      <c r="E86" s="5" t="inlineStr">
        <is>
          <t>Código + prueba en celda</t>
        </is>
      </c>
      <c r="F86" s="5" t="inlineStr">
        <is>
          <t>Programador robot</t>
        </is>
      </c>
      <c r="G86" s="5" t="inlineStr">
        <is>
          <t>KRC/R1/Program/ZERO_G1.src (nuevo)</t>
        </is>
      </c>
      <c r="H86"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6" s="5" t="inlineStr"/>
      <c r="J86" s="6" t="inlineStr">
        <is>
          <t>Abierto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6" t="inlineStr">
        <is>
          <t>C11</t>
        </is>
      </c>
      <c r="B87" s="5" t="inlineStr">
        <is>
          <t>Ethos</t>
        </is>
      </c>
      <c r="C87" s="19" t="inlineStr">
        <is>
          <t>-</t>
        </is>
      </c>
      <c r="D87" s="5" t="inlineStr">
        <is>
          <t>Zonas sin documentar: ninguna zona pedida, falta la forma NA-FM-71-138.1</t>
        </is>
      </c>
      <c r="E87" s="5" t="inlineStr">
        <is>
          <t>Información Gestamp</t>
        </is>
      </c>
      <c r="F87" s="5" t="inlineStr">
        <is>
          <t>Ethos (Edgar) / Gestamp controles</t>
        </is>
      </c>
      <c r="G87" s="5" t="inlineStr">
        <is>
          <t>KRC/R1/Program/Utilities/hometorepair.src, KRC/R1/Program/Utilities/repairtohome.src, KRC/R1/Program/Utilities/hometopounce.src, KRC/R1/Program/Styles/Options/style1opt1.src</t>
        </is>
      </c>
      <c r="H87"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7" s="5" t="inlineStr"/>
      <c r="J87" s="6" t="inlineStr">
        <is>
          <t>Requiere decisión</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9" t="inlineStr">
        <is>
          <t>C12</t>
        </is>
      </c>
      <c r="B88" s="10" t="inlineStr">
        <is>
          <t>Ethos</t>
        </is>
      </c>
      <c r="C88" s="18" t="inlineStr">
        <is>
          <t>-</t>
        </is>
      </c>
      <c r="D88" s="10" t="inlineStr">
        <is>
          <t>Pounce común: el ciclo no pasa por pounce y do007RobotAtPounce no se calcula</t>
        </is>
      </c>
      <c r="E88" s="10" t="inlineStr">
        <is>
          <t>Decisión Gestamp</t>
        </is>
      </c>
      <c r="F88" s="10" t="inlineStr">
        <is>
          <t>Gestamp controles / Ethos (Edgar)</t>
        </is>
      </c>
      <c r="G88" s="10"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8" s="10"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8" s="10" t="inlineStr">
        <is>
          <t>F12</t>
        </is>
      </c>
      <c r="J88" s="10" t="inlineStr">
        <is>
          <t>Aceptado sin cambio</t>
        </is>
      </c>
      <c r="K88" s="10" t="inlineStr"/>
      <c r="L88" s="10" t="inlineStr"/>
      <c r="M88" s="10" t="inlineStr"/>
      <c r="N88" s="10" t="inlineStr"/>
      <c r="O88" s="10" t="inlineStr">
        <is>
          <t>Estándar Gestamp</t>
        </is>
      </c>
      <c r="P88" s="10" t="inlineStr">
        <is>
          <t>2026-10-11</t>
        </is>
      </c>
      <c r="Q88" s="10" t="inlineStr">
        <is>
          <t>Gestamp no usa pounce en el ciclo. Aceptado sin cambio (igual que R20).</t>
        </is>
      </c>
    </row>
    <row r="89">
      <c r="A89" s="9" t="inlineStr">
        <is>
          <t>C13</t>
        </is>
      </c>
      <c r="B89" s="10" t="inlineStr">
        <is>
          <t>Ethos</t>
        </is>
      </c>
      <c r="C89" s="18" t="inlineStr">
        <is>
          <t>-</t>
        </is>
      </c>
      <c r="D89" s="10" t="inlineStr">
        <is>
          <t>Manejo de zonas coherente</t>
        </is>
      </c>
      <c r="E89" s="10" t="inlineStr">
        <is>
          <t>Sin acción</t>
        </is>
      </c>
      <c r="F89" s="10" t="inlineStr">
        <is>
          <t>Programador robot</t>
        </is>
      </c>
      <c r="G89" s="10" t="inlineStr">
        <is>
          <t>KRC/R1/Program/Utilities/hometorepair.src, KRC/R1/Program/Utilities/repairtohome.src, KRC/R1/Program/Utilities/hometopounce.src, KRC/R1/Program/Utilities/pouncetohome.src</t>
        </is>
      </c>
      <c r="H89" s="10" t="inlineStr">
        <is>
          <t>• Se reabre si C11 o C12 agregan zonas: entonces cada zona pedida se libera al salir de ella (no solo por MaintainSystem), con prueba en T1 de las salidas de zona libre.</t>
        </is>
      </c>
      <c r="I89" s="10" t="inlineStr">
        <is>
          <t>C11</t>
        </is>
      </c>
      <c r="J89" s="10" t="inlineStr">
        <is>
          <t>No aplica</t>
        </is>
      </c>
      <c r="K89" s="10" t="inlineStr"/>
      <c r="L89" s="10" t="inlineStr"/>
      <c r="M89" s="10" t="inlineStr"/>
      <c r="N89" s="10" t="inlineStr"/>
      <c r="O89" s="10" t="inlineStr">
        <is>
          <t>Alta (Ethos)</t>
        </is>
      </c>
      <c r="P89" s="10" t="inlineStr">
        <is>
          <t>2026-10-04</t>
        </is>
      </c>
      <c r="Q89" s="10" t="inlineStr">
        <is>
          <t>Revisión Ethos del respaldo 658424 (v431_03_10_r1.zip del 2026-10-02).</t>
        </is>
      </c>
    </row>
    <row r="90">
      <c r="A90" s="9" t="inlineStr">
        <is>
          <t>C14</t>
        </is>
      </c>
      <c r="B90" s="10" t="inlineStr">
        <is>
          <t>Ethos</t>
        </is>
      </c>
      <c r="C90" s="18" t="inlineStr">
        <is>
          <t>-</t>
        </is>
      </c>
      <c r="D90" s="10" t="inlineStr">
        <is>
          <t>Brake test: el 'due' no se reporta y el camino usa tool/base de otro robot</t>
        </is>
      </c>
      <c r="E90" s="10" t="inlineStr">
        <is>
          <t>Código + prueba en celda</t>
        </is>
      </c>
      <c r="F90" s="10" t="inlineStr">
        <is>
          <t>Programador robot</t>
        </is>
      </c>
      <c r="G90" s="10" t="inlineStr">
        <is>
          <t>KRC/R1/TP/BrakeTest/braketeststart.src, KRC/R1/TP/BrakeTest/braketestback.src, KRC/R1/cell.src, KRC/R1/System/sps.sub, KRC/R1/TP/AutomationCore/automationcoreroutines.src</t>
        </is>
      </c>
      <c r="H90" s="10"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90" s="10" t="inlineStr">
        <is>
          <t>F47</t>
        </is>
      </c>
      <c r="J90" s="10" t="inlineStr">
        <is>
          <t>Se cierra con otro punto</t>
        </is>
      </c>
      <c r="K90" s="10" t="inlineStr"/>
      <c r="L90" s="10" t="inlineStr"/>
      <c r="M90" s="10" t="inlineStr"/>
      <c r="N90" s="10" t="inlineStr"/>
      <c r="O90" s="10" t="inlineStr">
        <is>
          <t>Estándar Gestamp</t>
        </is>
      </c>
      <c r="P90" s="10" t="inlineStr">
        <is>
          <t>2026-10-11</t>
        </is>
      </c>
      <c r="Q90" s="10" t="inlineStr">
        <is>
          <t>do021 (brake test pendiente) lo escribe AutomationCore_BKG, activo como en Gestamp; braketestback apaga do931 en su USER INI, igual que Gestamp. Queda el camino del brake test enseñado con tool/base de otro robot: F47.</t>
        </is>
      </c>
    </row>
    <row r="91">
      <c r="A91" s="9" t="inlineStr">
        <is>
          <t>C15</t>
        </is>
      </c>
      <c r="B91" s="10" t="inlineStr">
        <is>
          <t>Ethos</t>
        </is>
      </c>
      <c r="C91" s="18" t="inlineStr">
        <is>
          <t>-</t>
        </is>
      </c>
      <c r="D91" s="10" t="inlineStr">
        <is>
          <t>Dry cycle seleccionable y sin colgar el robot</t>
        </is>
      </c>
      <c r="E91" s="10" t="inlineStr">
        <is>
          <t>Código + prueba en celda</t>
        </is>
      </c>
      <c r="F91" s="10" t="inlineStr">
        <is>
          <t>Programador robot</t>
        </is>
      </c>
      <c r="G91" s="10"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91" s="10" t="inlineStr">
        <is>
          <t>• Se cierra cuando se cierran F04 y F05.</t>
        </is>
      </c>
      <c r="I91" s="10" t="inlineStr">
        <is>
          <t>F04, F05</t>
        </is>
      </c>
      <c r="J91" s="10" t="inlineStr">
        <is>
          <t>Se cierra con otro punto</t>
        </is>
      </c>
      <c r="K91" s="10" t="inlineStr"/>
      <c r="L91" s="10" t="inlineStr"/>
      <c r="M91" s="10" t="inlineStr"/>
      <c r="N91" s="10" t="inlineStr"/>
      <c r="O91" s="10" t="inlineStr">
        <is>
          <t>Alta (Ethos)</t>
        </is>
      </c>
      <c r="P91" s="10" t="inlineStr">
        <is>
          <t>2026-10-04</t>
        </is>
      </c>
      <c r="Q91" s="10" t="inlineStr">
        <is>
          <t>Revisión Ethos del respaldo 658424 (v431_03_10_r1.zip del 2026-10-02).</t>
        </is>
      </c>
    </row>
    <row r="92">
      <c r="A92" s="9" t="inlineStr">
        <is>
          <t>C16</t>
        </is>
      </c>
      <c r="B92" s="10" t="inlineStr">
        <is>
          <t>Ethos</t>
        </is>
      </c>
      <c r="C92" s="18" t="inlineStr">
        <is>
          <t>-</t>
        </is>
      </c>
      <c r="D92" s="10" t="inlineStr">
        <is>
          <t>Pieza presente / pieza en gripper</t>
        </is>
      </c>
      <c r="E92" s="10" t="inlineStr">
        <is>
          <t>Código + prueba en celda</t>
        </is>
      </c>
      <c r="F92" s="10" t="inlineStr">
        <is>
          <t>Programador robot</t>
        </is>
      </c>
      <c r="G92"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2" s="10" t="inlineStr">
        <is>
          <t>• Se cierra cuando se cierran G09 y F40.
• Se reabre si un cambio quita o salta alguna espera de pieza fuera de dry cycle.</t>
        </is>
      </c>
      <c r="I92" s="10" t="inlineStr">
        <is>
          <t>G09, F40</t>
        </is>
      </c>
      <c r="J92" s="10" t="inlineStr">
        <is>
          <t>Se cierra con otro punto</t>
        </is>
      </c>
      <c r="K92" s="10" t="inlineStr"/>
      <c r="L92" s="10" t="inlineStr"/>
      <c r="M92" s="10" t="inlineStr"/>
      <c r="N92" s="10" t="inlineStr"/>
      <c r="O92" s="10" t="inlineStr">
        <is>
          <t>Alta (Ethos)</t>
        </is>
      </c>
      <c r="P92" s="10" t="inlineStr">
        <is>
          <t>2026-10-04</t>
        </is>
      </c>
      <c r="Q92" s="10" t="inlineStr">
        <is>
          <t>Revisión Ethos del respaldo 658424 (v431_03_10_r1.zip del 2026-10-02).</t>
        </is>
      </c>
    </row>
    <row r="93">
      <c r="A93" s="9" t="inlineStr">
        <is>
          <t>C17</t>
        </is>
      </c>
      <c r="B93" s="10" t="inlineStr">
        <is>
          <t>Ethos</t>
        </is>
      </c>
      <c r="C93" s="18" t="inlineStr">
        <is>
          <t>-</t>
        </is>
      </c>
      <c r="D93" s="10" t="inlineStr">
        <is>
          <t>Verificación de tuercas y red rabbit</t>
        </is>
      </c>
      <c r="E93" s="10" t="inlineStr">
        <is>
          <t>Código + prueba en celda</t>
        </is>
      </c>
      <c r="F93" s="10" t="inlineStr">
        <is>
          <t>Programador robot</t>
        </is>
      </c>
      <c r="G93" s="10"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3" s="10" t="inlineStr">
        <is>
          <t>• Se cierra cuando se cierran F02, F03 y F19.</t>
        </is>
      </c>
      <c r="I93" s="10" t="inlineStr">
        <is>
          <t>F02, F03, F19</t>
        </is>
      </c>
      <c r="J93" s="10" t="inlineStr">
        <is>
          <t>Se cierra con otro punto</t>
        </is>
      </c>
      <c r="K93" s="10" t="inlineStr"/>
      <c r="L93" s="10" t="inlineStr"/>
      <c r="M93" s="10" t="inlineStr"/>
      <c r="N93" s="10" t="inlineStr"/>
      <c r="O93" s="10" t="inlineStr">
        <is>
          <t>Alta (Ethos)</t>
        </is>
      </c>
      <c r="P93" s="10" t="inlineStr">
        <is>
          <t>2026-10-04</t>
        </is>
      </c>
      <c r="Q93" s="10" t="inlineStr">
        <is>
          <t>Revisión Ethos del respaldo 658424 (v431_03_10_r1.zip del 2026-10-02).</t>
        </is>
      </c>
    </row>
    <row r="94">
      <c r="A94" s="9" t="inlineStr">
        <is>
          <t>C18</t>
        </is>
      </c>
      <c r="B94" s="10" t="inlineStr">
        <is>
          <t>Ethos</t>
        </is>
      </c>
      <c r="C94" s="18" t="inlineStr">
        <is>
          <t>-</t>
        </is>
      </c>
      <c r="D94" s="10" t="inlineStr">
        <is>
          <t>Handshakes AutomationCore de pick, application y drop</t>
        </is>
      </c>
      <c r="E94" s="10" t="inlineStr">
        <is>
          <t>Código + prueba en celda</t>
        </is>
      </c>
      <c r="F94" s="10" t="inlineStr">
        <is>
          <t>Programador robot</t>
        </is>
      </c>
      <c r="G94" s="10"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4" s="10" t="inlineStr">
        <is>
          <t>• Se cierra cuando se cierran F20, F21 y F46.</t>
        </is>
      </c>
      <c r="I94" s="10" t="inlineStr">
        <is>
          <t>F20, F21, F46</t>
        </is>
      </c>
      <c r="J94" s="10" t="inlineStr">
        <is>
          <t>Se cierra con otro punto</t>
        </is>
      </c>
      <c r="K94" s="10" t="inlineStr"/>
      <c r="L94" s="10" t="inlineStr"/>
      <c r="M94" s="10" t="inlineStr"/>
      <c r="N94" s="10" t="inlineStr"/>
      <c r="O94" s="10" t="inlineStr">
        <is>
          <t>Alta (Ethos)</t>
        </is>
      </c>
      <c r="P94" s="10" t="inlineStr">
        <is>
          <t>2026-10-04</t>
        </is>
      </c>
      <c r="Q94" s="10" t="inlineStr">
        <is>
          <t>Revisión Ethos del respaldo 658424 (v431_03_10_r1.zip del 2026-10-02).</t>
        </is>
      </c>
    </row>
    <row r="95">
      <c r="A95" s="9" t="inlineStr">
        <is>
          <t>C19</t>
        </is>
      </c>
      <c r="B95" s="10" t="inlineStr">
        <is>
          <t>Ethos</t>
        </is>
      </c>
      <c r="C95" s="18" t="inlineStr">
        <is>
          <t>-</t>
        </is>
      </c>
      <c r="D95" s="10" t="inlineStr">
        <is>
          <t>Request to enter: doCriticalWZ nunca se escribe; el PLC ve entrada permitida</t>
        </is>
      </c>
      <c r="E95" s="10" t="inlineStr">
        <is>
          <t>Código + prueba en celda</t>
        </is>
      </c>
      <c r="F95" s="10" t="inlineStr">
        <is>
          <t>Programador robot / Seguridad</t>
        </is>
      </c>
      <c r="G95" s="10" t="inlineStr">
        <is>
          <t>KRC/R1/System/sps.sub, KRC/R1/TP/AutomationCore/automationcoreroutines.src, KRC/R1/Program/Centerline/PRELOAD.src, KRC/R1/Program/Centerline/centerline_weld.src</t>
        </is>
      </c>
      <c r="H95" s="10"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5" s="10" t="inlineStr">
        <is>
          <t>F12, F11, F35</t>
        </is>
      </c>
      <c r="J95" s="10" t="inlineStr">
        <is>
          <t>Cerrado - auditado</t>
        </is>
      </c>
      <c r="K95" s="10" t="inlineStr"/>
      <c r="L95" s="10" t="inlineStr"/>
      <c r="M95" s="10" t="inlineStr"/>
      <c r="N95" s="10" t="inlineStr"/>
      <c r="O95" s="10" t="inlineStr">
        <is>
          <t>Estándar Gestamp</t>
        </is>
      </c>
      <c r="P95" s="10" t="inlineStr">
        <is>
          <t>2026-10-11</t>
        </is>
      </c>
      <c r="Q95" s="10" t="inlineStr">
        <is>
          <t>doCriticalWZ lo escribe AutomationCore_BKG, activo como en Gestamp (mismo código que R20, que lo cerró).</t>
        </is>
      </c>
    </row>
    <row r="96">
      <c r="A96" s="16" t="inlineStr">
        <is>
          <t>C20</t>
        </is>
      </c>
      <c r="B96" s="5" t="inlineStr">
        <is>
          <t>Ethos</t>
        </is>
      </c>
      <c r="C96" s="19" t="inlineStr">
        <is>
          <t>-</t>
        </is>
      </c>
      <c r="D96" s="5" t="inlineStr">
        <is>
          <t>Conteo de soldaduras al final del ciclo: #CHECK apagado y WeldNoRequired distinto de 3</t>
        </is>
      </c>
      <c r="E96" s="5" t="inlineStr">
        <is>
          <t>Código + prueba en celda</t>
        </is>
      </c>
      <c r="F96" s="5" t="inlineStr">
        <is>
          <t>Programador robot</t>
        </is>
      </c>
      <c r="G96" s="5" t="inlineStr">
        <is>
          <t>KRC/R1/Program/Centerline/centerline_weld.src, KRC/R1/TP/AutomationCore/automationcoreroutines.src, KRC/R1/TP/AutomationCore/automationcoredata.dat</t>
        </is>
      </c>
      <c r="H96"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6" s="5" t="inlineStr">
        <is>
          <t>F46, F08, F02, F05</t>
        </is>
      </c>
      <c r="J96" s="6" t="inlineStr">
        <is>
          <t>Abierto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6" t="inlineStr">
        <is>
          <t>C21</t>
        </is>
      </c>
      <c r="B97" s="5" t="inlineStr">
        <is>
          <t>Ethos</t>
        </is>
      </c>
      <c r="C97" s="19" t="inlineStr">
        <is>
          <t>-</t>
        </is>
      </c>
      <c r="D97" s="5" t="inlineStr">
        <is>
          <t>Fallas por mensajes AutomationCore: ningún HALT sin mensaje ni WAIT FOR FALSE</t>
        </is>
      </c>
      <c r="E97" s="5" t="inlineStr">
        <is>
          <t>Código + prueba en celda</t>
        </is>
      </c>
      <c r="F97" s="5" t="inlineStr">
        <is>
          <t>Programador robot</t>
        </is>
      </c>
      <c r="G97"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7"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7" s="5" t="inlineStr">
        <is>
          <t>F06, F07, F15</t>
        </is>
      </c>
      <c r="J97" s="6" t="inlineStr">
        <is>
          <t>Abierto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6" t="inlineStr">
        <is>
          <t>C22</t>
        </is>
      </c>
      <c r="B98" s="5" t="inlineStr">
        <is>
          <t>Ethos</t>
        </is>
      </c>
      <c r="C98" s="19" t="inlineStr">
        <is>
          <t>-</t>
        </is>
      </c>
      <c r="D98" s="5" t="inlineStr">
        <is>
          <t>Grippers por inline forms GripperTech</t>
        </is>
      </c>
      <c r="E98" s="5" t="inlineStr">
        <is>
          <t>Código + prueba en celda</t>
        </is>
      </c>
      <c r="F98" s="5" t="inlineStr">
        <is>
          <t>Programador robot / Puesta en marcha</t>
        </is>
      </c>
      <c r="G98"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8"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8" s="5" t="inlineStr">
        <is>
          <t>F31, F33, F19</t>
        </is>
      </c>
      <c r="J98" s="6" t="inlineStr">
        <is>
          <t>Abierto</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9" t="inlineStr">
        <is>
          <t>C23</t>
        </is>
      </c>
      <c r="B99" s="10" t="inlineStr">
        <is>
          <t>Ethos</t>
        </is>
      </c>
      <c r="C99" s="18" t="inlineStr">
        <is>
          <t>-</t>
        </is>
      </c>
      <c r="D99" s="10" t="inlineStr">
        <is>
          <t>Nombres AutomationCore para la E/S, sin direcciones literales</t>
        </is>
      </c>
      <c r="E99" s="10" t="inlineStr">
        <is>
          <t>Código</t>
        </is>
      </c>
      <c r="F99" s="10" t="inlineStr">
        <is>
          <t>Programador robot</t>
        </is>
      </c>
      <c r="G99" s="10" t="inlineStr">
        <is>
          <t>KRC/R1/Program/Centerline/centerline_weld.src, KRC/R1/Program/Centerline/PRELOAD.src, KRC/R1/Program/Centerline/CENTERLINE_HOME.src, KRC/R1/System/sps.sub, KRC/R1/System/$config.dat, KRC/R1/TP/AutomationCore/automationcoreroutines.dat</t>
        </is>
      </c>
      <c r="H99" s="10" t="inlineStr">
        <is>
          <t>• Se cierra cuando se cierran F17, F29 y F36.</t>
        </is>
      </c>
      <c r="I99" s="10" t="inlineStr">
        <is>
          <t>F17, F29, F36</t>
        </is>
      </c>
      <c r="J99" s="10" t="inlineStr">
        <is>
          <t>Se cierra con otro punto</t>
        </is>
      </c>
      <c r="K99" s="10" t="inlineStr"/>
      <c r="L99" s="10" t="inlineStr"/>
      <c r="M99" s="10" t="inlineStr"/>
      <c r="N99" s="10" t="inlineStr"/>
      <c r="O99" s="10" t="inlineStr">
        <is>
          <t>Alta (Ethos)</t>
        </is>
      </c>
      <c r="P99" s="10" t="inlineStr">
        <is>
          <t>2026-10-04</t>
        </is>
      </c>
      <c r="Q99" s="10" t="inlineStr">
        <is>
          <t>Revisión Ethos del respaldo 658424 (v431_03_10_r1.zip del 2026-10-02).</t>
        </is>
      </c>
    </row>
    <row r="100">
      <c r="A100" s="9" t="inlineStr">
        <is>
          <t>C24</t>
        </is>
      </c>
      <c r="B100" s="10" t="inlineStr">
        <is>
          <t>Ethos</t>
        </is>
      </c>
      <c r="C100" s="18" t="inlineStr">
        <is>
          <t>-</t>
        </is>
      </c>
      <c r="D100" s="10" t="inlineStr">
        <is>
          <t>Los comentarios nombran la señal con su dirección</t>
        </is>
      </c>
      <c r="E100" s="10" t="inlineStr">
        <is>
          <t>Sin acción</t>
        </is>
      </c>
      <c r="F100" s="10" t="inlineStr">
        <is>
          <t>Programador robot</t>
        </is>
      </c>
      <c r="G100"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0" s="10" t="inlineStr">
        <is>
          <t>• Toda acción de E/S o espera nueva o cambiada del respaldo tiene en las líneas de arriba un comentario con dirección y nombre declarado.
• Ningún comentario nuevo o cambiado escribe '$IN/$OUT[n] nombre' con un nombre no declarado en ese índice.</t>
        </is>
      </c>
      <c r="I100" s="10" t="inlineStr"/>
      <c r="J100" s="10" t="inlineStr">
        <is>
          <t>Cerrado - depuración</t>
        </is>
      </c>
      <c r="K100" s="10" t="inlineStr"/>
      <c r="L100" s="10" t="inlineStr"/>
      <c r="M100" s="10" t="inlineStr"/>
      <c r="N100" s="10" t="inlineStr"/>
      <c r="O100" s="10" t="inlineStr">
        <is>
          <t>Alta (Ethos)</t>
        </is>
      </c>
      <c r="P100" s="10" t="inlineStr">
        <is>
          <t>2026-10-04</t>
        </is>
      </c>
      <c r="Q100" s="10" t="inlineStr">
        <is>
          <t>Revisión Ethos del respaldo 658424 (v431_03_10_r1.zip del 2026-10-02).</t>
        </is>
      </c>
    </row>
    <row r="101">
      <c r="A101" s="9" t="inlineStr">
        <is>
          <t>C25</t>
        </is>
      </c>
      <c r="B101" s="10" t="inlineStr">
        <is>
          <t>Ethos</t>
        </is>
      </c>
      <c r="C101" s="18" t="inlineStr">
        <is>
          <t>-</t>
        </is>
      </c>
      <c r="D101" s="10" t="inlineStr">
        <is>
          <t>Inline forms consistentes con el código</t>
        </is>
      </c>
      <c r="E101" s="10" t="inlineStr">
        <is>
          <t>Código</t>
        </is>
      </c>
      <c r="F101" s="10" t="inlineStr">
        <is>
          <t>Programador robot</t>
        </is>
      </c>
      <c r="G10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101" s="10" t="inlineStr">
        <is>
          <t>• Se cierra cuando se cierran F21, F31 y F32.</t>
        </is>
      </c>
      <c r="I101" s="10" t="inlineStr">
        <is>
          <t>F21, F31, F32</t>
        </is>
      </c>
      <c r="J101" s="10" t="inlineStr">
        <is>
          <t>Se cierra con otro punto</t>
        </is>
      </c>
      <c r="K101" s="10" t="inlineStr"/>
      <c r="L101" s="10" t="inlineStr"/>
      <c r="M101" s="10" t="inlineStr"/>
      <c r="N101" s="10" t="inlineStr"/>
      <c r="O101" s="10" t="inlineStr">
        <is>
          <t>Alta (Ethos)</t>
        </is>
      </c>
      <c r="P101" s="10" t="inlineStr">
        <is>
          <t>2026-10-04</t>
        </is>
      </c>
      <c r="Q101" s="10" t="inlineStr">
        <is>
          <t>Revisión Ethos del respaldo 658424 (v431_03_10_r1.zip del 2026-10-02).</t>
        </is>
      </c>
    </row>
    <row r="102">
      <c r="A102" s="9" t="inlineStr">
        <is>
          <t>C26</t>
        </is>
      </c>
      <c r="B102" s="10" t="inlineStr">
        <is>
          <t>Ethos</t>
        </is>
      </c>
      <c r="C102" s="18" t="inlineStr">
        <is>
          <t>-</t>
        </is>
      </c>
      <c r="D102" s="10" t="inlineStr">
        <is>
          <t>Solo inglés en comentarios, títulos de fold y &amp;COMMENT</t>
        </is>
      </c>
      <c r="E102" s="10" t="inlineStr">
        <is>
          <t>Sin acción</t>
        </is>
      </c>
      <c r="F102" s="10" t="inlineStr">
        <is>
          <t>Programador robot</t>
        </is>
      </c>
      <c r="G102"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2" s="10"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2" s="10" t="inlineStr"/>
      <c r="J102" s="10" t="inlineStr">
        <is>
          <t>Cerrado - depuración</t>
        </is>
      </c>
      <c r="K102" s="10" t="inlineStr"/>
      <c r="L102" s="10" t="inlineStr"/>
      <c r="M102" s="10" t="inlineStr"/>
      <c r="N102" s="10" t="inlineStr"/>
      <c r="O102" s="10" t="inlineStr">
        <is>
          <t>Alta (Ethos)</t>
        </is>
      </c>
      <c r="P102" s="10" t="inlineStr">
        <is>
          <t>2026-10-04</t>
        </is>
      </c>
      <c r="Q102" s="10" t="inlineStr">
        <is>
          <t>Revisión Ethos del respaldo 658424 (v431_03_10_r1.zip del 2026-10-02).</t>
        </is>
      </c>
    </row>
    <row r="103">
      <c r="A103" s="9" t="inlineStr">
        <is>
          <t>C27</t>
        </is>
      </c>
      <c r="B103" s="10" t="inlineStr">
        <is>
          <t>Ethos</t>
        </is>
      </c>
      <c r="C103" s="18" t="inlineStr">
        <is>
          <t>-</t>
        </is>
      </c>
      <c r="D103" s="10" t="inlineStr">
        <is>
          <t>Proceso controlado por robot no compartido; regla de dos procesos</t>
        </is>
      </c>
      <c r="E103" s="10" t="inlineStr">
        <is>
          <t>Sin acción</t>
        </is>
      </c>
      <c r="F103" s="10" t="inlineStr">
        <is>
          <t>Ethos (Edgar)</t>
        </is>
      </c>
      <c r="G103" s="10" t="inlineStr"/>
      <c r="H103" s="10" t="inlineStr">
        <is>
          <t>• Se reabre solo si R10 pasa de dos procesos o si otro robot empieza a usar el pedestal CenterLine.</t>
        </is>
      </c>
      <c r="I103" s="10" t="inlineStr"/>
      <c r="J103" s="10" t="inlineStr">
        <is>
          <t>No aplica</t>
        </is>
      </c>
      <c r="K103" s="10" t="inlineStr"/>
      <c r="L103" s="10" t="inlineStr"/>
      <c r="M103" s="10" t="inlineStr"/>
      <c r="N103" s="10" t="inlineStr"/>
      <c r="O103" s="10" t="inlineStr">
        <is>
          <t>Alta (Ethos)</t>
        </is>
      </c>
      <c r="P103" s="10" t="inlineStr">
        <is>
          <t>2026-10-04</t>
        </is>
      </c>
      <c r="Q103" s="10" t="inlineStr">
        <is>
          <t>Revisión Ethos del respaldo 658424 (v431_03_10_r1.zip del 2026-10-02).</t>
        </is>
      </c>
    </row>
    <row r="104">
      <c r="A104" s="16" t="inlineStr">
        <is>
          <t>C28</t>
        </is>
      </c>
      <c r="B104" s="5" t="inlineStr">
        <is>
          <t>Ethos</t>
        </is>
      </c>
      <c r="C104" s="19" t="inlineStr">
        <is>
          <t>-</t>
        </is>
      </c>
      <c r="D104" s="5" t="inlineStr">
        <is>
          <t>Ediciones del integrador en archivos del proveedor: listarlas en la entrega</t>
        </is>
      </c>
      <c r="E104" s="5" t="inlineStr">
        <is>
          <t>Procedimiento</t>
        </is>
      </c>
      <c r="F104" s="5" t="inlineStr">
        <is>
          <t>Ethos (Edgar) / Programador robot</t>
        </is>
      </c>
      <c r="G104"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4"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4" s="5" t="inlineStr">
        <is>
          <t>F12, F46, C09, C12, C14, C19, C20</t>
        </is>
      </c>
      <c r="J104" s="6" t="inlineStr">
        <is>
          <t>Abierto</t>
        </is>
      </c>
      <c r="K104" s="6" t="inlineStr"/>
      <c r="L104" s="6" t="inlineStr"/>
      <c r="M104" s="6" t="inlineStr"/>
      <c r="N104" s="6" t="inlineStr"/>
      <c r="O104" s="7" t="inlineStr">
        <is>
          <t>Nota</t>
        </is>
      </c>
      <c r="P104" s="7" t="inlineStr">
        <is>
          <t>2026-10-11</t>
        </is>
      </c>
      <c r="Q104" s="7" t="inlineStr">
        <is>
          <t>Respaldo del 10/10 (versión de oficina del 05/10 cargada + cambios suyos del 06 al 10/10). Ediciones nuevas en archivos de KUKA: ir_stopm.src sin GLUE_TechStop() ni GLUE_Restart() (GlueTech instalado y sin uso; usa $TIMER[12..16]) y tm_bib.dat (TQM_ACT T21..T26 de 100000 a 1000). Si se actualiza o desinstala GlueTech o TorqueMonitoring, revisarlas.</t>
        </is>
      </c>
    </row>
  </sheetData>
  <autoFilter ref="A1:Q104"/>
  <conditionalFormatting sqref="A2:Q104">
    <cfRule type="expression" priority="1" dxfId="0" stopIfTrue="1">
      <formula>OR($J2="Cerrado - auditado",$J2="Cerrado - depuración",$J2="Aceptado sin cambio",$J2="No aplica",$J2="Sin acción - documentado",$J2="Se cierra con otro punto")</formula>
    </cfRule>
  </conditionalFormatting>
  <dataValidations count="1">
    <dataValidation sqref="J2:J104"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20" t="inlineStr">
        <is>
          <t>Resumen de puntos abiertos</t>
        </is>
      </c>
    </row>
    <row r="2">
      <c r="A2" s="21" t="inlineStr">
        <is>
          <t>Generado 2026-10-11 08:01 (hora del centro de México)</t>
        </is>
      </c>
    </row>
    <row r="3">
      <c r="A3" s="22" t="inlineStr">
        <is>
          <t>Estado</t>
        </is>
      </c>
      <c r="B3" s="22" t="inlineStr">
        <is>
          <t>Puntos</t>
        </is>
      </c>
    </row>
    <row r="4">
      <c r="A4" s="23" t="inlineStr">
        <is>
          <t>Abierto</t>
        </is>
      </c>
      <c r="B4" s="23">
        <f>COUNTIF('Puntos abiertos'!$J$2:$J$104,A4)</f>
        <v/>
      </c>
    </row>
    <row r="5">
      <c r="A5" s="23" t="inlineStr">
        <is>
          <t>Requiere decisión</t>
        </is>
      </c>
      <c r="B5" s="23">
        <f>COUNTIF('Puntos abiertos'!$J$2:$J$104,A5)</f>
        <v/>
      </c>
    </row>
    <row r="6">
      <c r="A6" s="23" t="inlineStr">
        <is>
          <t>En proceso</t>
        </is>
      </c>
      <c r="B6" s="23">
        <f>COUNTIF('Puntos abiertos'!$J$2:$J$104,A6)</f>
        <v/>
      </c>
    </row>
    <row r="7">
      <c r="A7" s="23" t="inlineStr">
        <is>
          <t>Corregido - por auditar</t>
        </is>
      </c>
      <c r="B7" s="23">
        <f>COUNTIF('Puntos abiertos'!$J$2:$J$104,A7)</f>
        <v/>
      </c>
    </row>
    <row r="8">
      <c r="A8" s="23" t="inlineStr">
        <is>
          <t>Cerrado - auditado</t>
        </is>
      </c>
      <c r="B8" s="23">
        <f>COUNTIF('Puntos abiertos'!$J$2:$J$104,A8)</f>
        <v/>
      </c>
    </row>
    <row r="9">
      <c r="A9" s="23" t="inlineStr">
        <is>
          <t>Reabierto</t>
        </is>
      </c>
      <c r="B9" s="23">
        <f>COUNTIF('Puntos abiertos'!$J$2:$J$104,A9)</f>
        <v/>
      </c>
    </row>
    <row r="10">
      <c r="A10" s="23" t="inlineStr">
        <is>
          <t>Aceptado sin cambio</t>
        </is>
      </c>
      <c r="B10" s="23">
        <f>COUNTIF('Puntos abiertos'!$J$2:$J$104,A10)</f>
        <v/>
      </c>
    </row>
    <row r="11">
      <c r="A11" s="23" t="inlineStr">
        <is>
          <t>Cerrado - depuración</t>
        </is>
      </c>
      <c r="B11" s="23">
        <f>COUNTIF('Puntos abiertos'!$J$2:$J$104,A11)</f>
        <v/>
      </c>
    </row>
    <row r="12">
      <c r="A12" s="23" t="inlineStr">
        <is>
          <t>No aplica</t>
        </is>
      </c>
      <c r="B12" s="23">
        <f>COUNTIF('Puntos abiertos'!$J$2:$J$104,A12)</f>
        <v/>
      </c>
    </row>
    <row r="13">
      <c r="A13" s="23" t="inlineStr">
        <is>
          <t>Sin acción - documentado</t>
        </is>
      </c>
      <c r="B13" s="23">
        <f>COUNTIF('Puntos abiertos'!$J$2:$J$104,A13)</f>
        <v/>
      </c>
    </row>
    <row r="14">
      <c r="A14" s="23" t="inlineStr">
        <is>
          <t>Se cierra con otro punto</t>
        </is>
      </c>
      <c r="B14" s="23">
        <f>COUNTIF('Puntos abiertos'!$J$2:$J$104,A14)</f>
        <v/>
      </c>
    </row>
    <row r="15">
      <c r="A15" s="24" t="inlineStr">
        <is>
          <t>Total</t>
        </is>
      </c>
      <c r="B15" s="24">
        <f>SUM(B4:B14)</f>
        <v/>
      </c>
    </row>
    <row r="17">
      <c r="A17" s="22" t="inlineStr">
        <is>
          <t>Severidad</t>
        </is>
      </c>
      <c r="B17" s="22" t="inlineStr">
        <is>
          <t>Total</t>
        </is>
      </c>
      <c r="C17" s="22" t="inlineStr">
        <is>
          <t>Pendientes</t>
        </is>
      </c>
    </row>
    <row r="18">
      <c r="A18" s="23" t="inlineStr">
        <is>
          <t>Crítico</t>
        </is>
      </c>
      <c r="B18" s="23">
        <f>COUNTIF('Puntos abiertos'!$C$2:$C$104,A18)</f>
        <v/>
      </c>
      <c r="C18" s="23">
        <f>COUNTIFS('Puntos abiertos'!$C$2:$C$104,A18,'Puntos abiertos'!$J$2:$J$104,"Abierto")+COUNTIFS('Puntos abiertos'!$C$2:$C$104,A18,'Puntos abiertos'!$J$2:$J$104,"Requiere decisión")+COUNTIFS('Puntos abiertos'!$C$2:$C$104,A18,'Puntos abiertos'!$J$2:$J$104,"En proceso")+COUNTIFS('Puntos abiertos'!$C$2:$C$104,A18,'Puntos abiertos'!$J$2:$J$104,"Corregido - por auditar")+COUNTIFS('Puntos abiertos'!$C$2:$C$104,A18,'Puntos abiertos'!$J$2:$J$104,"Reabierto")</f>
        <v/>
      </c>
    </row>
    <row r="19">
      <c r="A19" s="23" t="inlineStr">
        <is>
          <t>Alto</t>
        </is>
      </c>
      <c r="B19" s="23">
        <f>COUNTIF('Puntos abiertos'!$C$2:$C$104,A19)</f>
        <v/>
      </c>
      <c r="C19" s="23">
        <f>COUNTIFS('Puntos abiertos'!$C$2:$C$104,A19,'Puntos abiertos'!$J$2:$J$104,"Abierto")+COUNTIFS('Puntos abiertos'!$C$2:$C$104,A19,'Puntos abiertos'!$J$2:$J$104,"Requiere decisión")+COUNTIFS('Puntos abiertos'!$C$2:$C$104,A19,'Puntos abiertos'!$J$2:$J$104,"En proceso")+COUNTIFS('Puntos abiertos'!$C$2:$C$104,A19,'Puntos abiertos'!$J$2:$J$104,"Corregido - por auditar")+COUNTIFS('Puntos abiertos'!$C$2:$C$104,A19,'Puntos abiertos'!$J$2:$J$104,"Reabierto")</f>
        <v/>
      </c>
    </row>
    <row r="20">
      <c r="A20" s="23" t="inlineStr">
        <is>
          <t>Medio</t>
        </is>
      </c>
      <c r="B20" s="23">
        <f>COUNTIF('Puntos abiertos'!$C$2:$C$104,A20)</f>
        <v/>
      </c>
      <c r="C20" s="23">
        <f>COUNTIFS('Puntos abiertos'!$C$2:$C$104,A20,'Puntos abiertos'!$J$2:$J$104,"Abierto")+COUNTIFS('Puntos abiertos'!$C$2:$C$104,A20,'Puntos abiertos'!$J$2:$J$104,"Requiere decisión")+COUNTIFS('Puntos abiertos'!$C$2:$C$104,A20,'Puntos abiertos'!$J$2:$J$104,"En proceso")+COUNTIFS('Puntos abiertos'!$C$2:$C$104,A20,'Puntos abiertos'!$J$2:$J$104,"Corregido - por auditar")+COUNTIFS('Puntos abiertos'!$C$2:$C$104,A20,'Puntos abiertos'!$J$2:$J$104,"Reabierto")</f>
        <v/>
      </c>
    </row>
    <row r="21">
      <c r="A21" s="23" t="inlineStr">
        <is>
          <t>Bajo</t>
        </is>
      </c>
      <c r="B21" s="23">
        <f>COUNTIF('Puntos abiertos'!$C$2:$C$104,A21)</f>
        <v/>
      </c>
      <c r="C21" s="23">
        <f>COUNTIFS('Puntos abiertos'!$C$2:$C$104,A21,'Puntos abiertos'!$J$2:$J$104,"Abierto")+COUNTIFS('Puntos abiertos'!$C$2:$C$104,A21,'Puntos abiertos'!$J$2:$J$104,"Requiere decisión")+COUNTIFS('Puntos abiertos'!$C$2:$C$104,A21,'Puntos abiertos'!$J$2:$J$104,"En proceso")+COUNTIFS('Puntos abiertos'!$C$2:$C$104,A21,'Puntos abiertos'!$J$2:$J$104,"Corregido - por auditar")+COUNTIFS('Puntos abiertos'!$C$2:$C$104,A21,'Puntos abiertos'!$J$2:$J$104,"Reabierto")</f>
        <v/>
      </c>
    </row>
    <row r="23">
      <c r="A23" s="22" t="inlineStr">
        <is>
          <t>Origen</t>
        </is>
      </c>
      <c r="B23" s="22" t="inlineStr">
        <is>
          <t>Total</t>
        </is>
      </c>
      <c r="C23" s="22" t="inlineStr">
        <is>
          <t>Pendientes</t>
        </is>
      </c>
    </row>
    <row r="24">
      <c r="A24" s="23" t="inlineStr">
        <is>
          <t>Gestamp</t>
        </is>
      </c>
      <c r="B24" s="23">
        <f>COUNTIF('Puntos abiertos'!$B$2:$B$104,"Gestamp*")</f>
        <v/>
      </c>
      <c r="C24" s="23">
        <f>COUNTIFS('Puntos abiertos'!$B$2:$B$104,"Gestamp*",'Puntos abiertos'!$J$2:$J$104,"Abierto")+COUNTIFS('Puntos abiertos'!$B$2:$B$104,"Gestamp*",'Puntos abiertos'!$J$2:$J$104,"Requiere decisión")+COUNTIFS('Puntos abiertos'!$B$2:$B$104,"Gestamp*",'Puntos abiertos'!$J$2:$J$104,"En proceso")+COUNTIFS('Puntos abiertos'!$B$2:$B$104,"Gestamp*",'Puntos abiertos'!$J$2:$J$104,"Corregido - por auditar")+COUNTIFS('Puntos abiertos'!$B$2:$B$104,"Gestamp*",'Puntos abiertos'!$J$2:$J$104,"Reabierto")</f>
        <v/>
      </c>
    </row>
    <row r="25">
      <c r="A25" s="23" t="inlineStr">
        <is>
          <t>Ethos</t>
        </is>
      </c>
      <c r="B25" s="23">
        <f>COUNTIF('Puntos abiertos'!$B$2:$B$104,"Ethos")</f>
        <v/>
      </c>
      <c r="C25" s="23">
        <f>COUNTIFS('Puntos abiertos'!$B$2:$B$104,"Ethos",'Puntos abiertos'!$J$2:$J$104,"Abierto")+COUNTIFS('Puntos abiertos'!$B$2:$B$104,"Ethos",'Puntos abiertos'!$J$2:$J$104,"Requiere decisión")+COUNTIFS('Puntos abiertos'!$B$2:$B$104,"Ethos",'Puntos abiertos'!$J$2:$J$104,"En proceso")+COUNTIFS('Puntos abiertos'!$B$2:$B$104,"Ethos",'Puntos abiertos'!$J$2:$J$104,"Corregido - por auditar")+COUNTIFS('Puntos abiertos'!$B$2:$B$104,"Ethos",'Puntos abiertos'!$J$2:$J$104,"Reabierto")</f>
        <v/>
      </c>
    </row>
    <row r="26">
      <c r="A26" s="23" t="inlineStr">
        <is>
          <t>Calvin (Ethos)</t>
        </is>
      </c>
      <c r="B26" s="23">
        <f>COUNTIF('Puntos abiertos'!$B$2:$B$104,"Calvin*")</f>
        <v/>
      </c>
      <c r="C26" s="23">
        <f>COUNTIFS('Puntos abiertos'!$B$2:$B$104,"Calvin*",'Puntos abiertos'!$J$2:$J$104,"Abierto")+COUNTIFS('Puntos abiertos'!$B$2:$B$104,"Calvin*",'Puntos abiertos'!$J$2:$J$104,"Requiere decisión")+COUNTIFS('Puntos abiertos'!$B$2:$B$104,"Calvin*",'Puntos abiertos'!$J$2:$J$104,"En proceso")+COUNTIFS('Puntos abiertos'!$B$2:$B$104,"Calvin*",'Puntos abiertos'!$J$2:$J$104,"Corregido - por auditar")+COUNTIFS('Puntos abiertos'!$B$2:$B$104,"Calvin*",'Puntos abiertos'!$J$2:$J$104,"Reabierto")</f>
        <v/>
      </c>
    </row>
    <row r="28">
      <c r="A28" s="21"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25" t="inlineStr">
        <is>
          <t>Cómo usar esta lista</t>
        </is>
      </c>
    </row>
    <row r="2">
      <c r="A2" s="26" t="inlineStr">
        <is>
          <t>1. Trabaja los puntos en el programa del robot. Respeta docs/CONVENTIONS.md del repositorio: comentarios en inglés con la señal nombrada ($OUT[n] nombre), sin código comentado, sin reabrir inline forms que tengan líneas escritas a mano.</t>
        </is>
      </c>
    </row>
    <row r="3">
      <c r="A3" s="26" t="inlineStr">
        <is>
          <t>2. En la hoja "Puntos abiertos" llena SOLO las columnas amarillas de los puntos que trabajaste: Estado, Qué cambió el programador, Módulos modificados, Evidencia / prueba en celda, Fecha programador.</t>
        </is>
      </c>
    </row>
    <row r="4">
      <c r="A4" s="26" t="inlineStr">
        <is>
          <t>3. Estado: pon "En proceso" si empezaste y no está listo, o "Corregido - por auditar" si el cambio está hecho y probado. No pongas Cerrado: lo pone la auditoría.</t>
        </is>
      </c>
    </row>
    <row r="5">
      <c r="A5" s="26" t="inlineStr">
        <is>
          <t>4. La evidencia es lo que pide el criterio de cierre: prueba en celda con fecha y resultado, valor leído en el smartPAD, documento de Gestamp. Sin evidencia el punto se reabre.</t>
        </is>
      </c>
    </row>
    <row r="6">
      <c r="A6" s="26"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6" t="inlineStr"/>
    </row>
    <row r="8">
      <c r="A8" s="25" t="inlineStr">
        <is>
          <t>Ejemplo de una fila llenada (formato esperado)</t>
        </is>
      </c>
    </row>
    <row r="9">
      <c r="A9" s="26" t="inlineStr">
        <is>
          <t>Estado: Corregido - por auditar</t>
        </is>
      </c>
    </row>
    <row r="10">
      <c r="A10" s="26" t="inlineStr">
        <is>
          <t>Qué cambió el programador: style1app1opt1..3: espera supervisada antes del LIN de aproximación (gun open LPT &gt; 120000, $IN[466], $IN[482], NOT $IN[470]) con $TIMER[21] 3 s, mensaje y do004ProcessFault. PRELOAD paso 20 ahora espera $IN[482].</t>
        </is>
      </c>
    </row>
    <row r="11">
      <c r="A11" s="26" t="inlineStr">
        <is>
          <t>Módulos modificados: style1app1opt1.src ... style1app1opt3.src, PRELOAD.src</t>
        </is>
      </c>
    </row>
    <row r="12">
      <c r="A12" s="26" t="inlineStr">
        <is>
          <t>Evidencia / prueba en celda: 2026-10-06, T1 50 %: clamp cerrado a mano, el robot se detuvo antes de P22 con mensaje; con todo abierto el ciclo siguió normal. 3 ciclos en automático OK.</t>
        </is>
      </c>
    </row>
    <row r="13">
      <c r="A13" s="26" t="inlineStr">
        <is>
          <t>Fecha programador: 2026-10-06</t>
        </is>
      </c>
    </row>
    <row r="14">
      <c r="A14" s="26" t="inlineStr"/>
    </row>
    <row r="15">
      <c r="A15" s="25" t="inlineStr">
        <is>
          <t>Puntos de Gestamp</t>
        </is>
      </c>
    </row>
    <row r="16">
      <c r="A16" s="26"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17">
      <c r="A17" s="26"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18">
      <c r="A18" s="26" t="inlineStr">
        <is>
          <t>Fila completa en verde: punto cerrado (Cerrado, Aceptado sin cambio, No aplica, Sin acción o Se cierra con otro punto), aunque sea crítico. No hay que hacer nada en esas filas.</t>
        </is>
      </c>
    </row>
    <row r="19">
      <c r="A19" s="26" t="inlineStr">
        <is>
          <t>Las anotaciones que Edgar acuerda con el programador van en la columna "Qué cambió el programador".</t>
        </is>
      </c>
    </row>
    <row r="20">
      <c r="A20" s="26" t="inlineStr">
        <is>
          <t>Estándar: no se pide más de lo que hace el respaldo de Gestamp NUT07_10R1 (ver la Nota auditoría de cada punto).</t>
        </is>
      </c>
    </row>
    <row r="21">
      <c r="A21" s="26" t="inlineStr"/>
    </row>
    <row r="22">
      <c r="A22" s="25" t="inlineStr">
        <is>
          <t>Estados</t>
        </is>
      </c>
    </row>
    <row r="23">
      <c r="A23" s="23" t="inlineStr">
        <is>
          <t>Abierto: Pendiente de trabajar.</t>
        </is>
      </c>
    </row>
    <row r="24">
      <c r="A24" s="23" t="inlineStr">
        <is>
          <t>Requiere decisión: Falta información o decisión (Gestamp, seguridad, Ethos) antes de programar.</t>
        </is>
      </c>
    </row>
    <row r="25">
      <c r="A25" s="23" t="inlineStr">
        <is>
          <t>En proceso: Lo pone el programador: trabajo empezado.</t>
        </is>
      </c>
    </row>
    <row r="26">
      <c r="A26" s="23" t="inlineStr">
        <is>
          <t>Corregido - por auditar: Lo pone el programador: cambio hecho y probado, pide auditoría.</t>
        </is>
      </c>
    </row>
    <row r="27">
      <c r="A27" s="23" t="inlineStr">
        <is>
          <t>Cerrado - auditado: Lo pone la auditoría: cumple el criterio de cierre en el respaldo.</t>
        </is>
      </c>
    </row>
    <row r="28">
      <c r="A28" s="23" t="inlineStr">
        <is>
          <t>Reabierto: Lo pone la auditoría: no se encontró el cambio o no cumple (ver Nota auditoría).</t>
        </is>
      </c>
    </row>
    <row r="29">
      <c r="A29" s="23" t="inlineStr">
        <is>
          <t>Aceptado sin cambio: Ethos / Gestamp decidieron no corregir; queda la razón.</t>
        </is>
      </c>
    </row>
    <row r="30">
      <c r="A30" s="23" t="inlineStr">
        <is>
          <t>Cerrado - depuración: Resuelto por la depuración del 2026-10-04.</t>
        </is>
      </c>
    </row>
    <row r="31">
      <c r="A31" s="23" t="inlineStr">
        <is>
          <t>No aplica: El punto ya cumple.</t>
        </is>
      </c>
    </row>
    <row r="32">
      <c r="A32" s="23" t="inlineStr">
        <is>
          <t>Sin acción - documentado: Se deja como está; la nota dice cuándo se reabriría.</t>
        </is>
      </c>
    </row>
    <row r="33">
      <c r="A33" s="23" t="inlineStr">
        <is>
          <t>Se cierra con otro punto: Duplica otro punto (columna Depende de); se cierra con él.</t>
        </is>
      </c>
    </row>
    <row r="35">
      <c r="A35" s="27"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8" t="inlineStr">
        <is>
          <t>Fecha auditoría</t>
        </is>
      </c>
      <c r="B1" s="28" t="inlineStr">
        <is>
          <t>Respaldo</t>
        </is>
      </c>
      <c r="C1" s="28" t="inlineStr">
        <is>
          <t>Cerrados</t>
        </is>
      </c>
      <c r="D1" s="28" t="inlineStr">
        <is>
          <t>Reabiertos</t>
        </is>
      </c>
      <c r="E1" s="28" t="inlineStr">
        <is>
          <t>Cambios de código</t>
        </is>
      </c>
      <c r="F1" s="28" t="inlineStr">
        <is>
          <t>Notas</t>
        </is>
      </c>
    </row>
    <row r="2">
      <c r="A2" s="23" t="inlineStr">
        <is>
          <t>2026-10-04</t>
        </is>
      </c>
      <c r="B2" s="23" t="inlineStr">
        <is>
          <t>658424_R10 (versión de oficina, tools/build_archive.py)</t>
        </is>
      </c>
      <c r="C2" s="23" t="n">
        <v>0</v>
      </c>
      <c r="D2" s="23" t="n">
        <v>0</v>
      </c>
      <c r="E2" s="23" t="inlineStr">
        <is>
          <t>12 módulos con cambios de lógica, 8 equivalentes tras renombres, 1 borrado (centerline_loop.src), 2 movidos (Styles/optiones → Styles/Options), 104 idénticos (tools/check_equivalence.py contra la base fb8a4c8)</t>
        </is>
      </c>
      <c r="F2" s="23"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3" t="inlineStr">
        <is>
          <t>2026-10-05</t>
        </is>
      </c>
      <c r="B3" s="23" t="inlineStr">
        <is>
          <t>bmw_03_10_r1.zip (am.ini 2026-10-05 09:43, robot BMW_03_10_R1, serie 658424)</t>
        </is>
      </c>
      <c r="C3" s="23" t="n">
        <v>0</v>
      </c>
      <c r="D3" s="23" t="n">
        <v>0</v>
      </c>
      <c r="E3" s="23" t="inlineStr">
        <is>
          <t>62 archivos cambiados, 7 agregados (GUN_OPEN_CHECK, proyecto WorkVisual BMW-03-10R1_v8), 39 KRL con cambios de código (-230/+1323 líneas) contra el estado auditado (b5a8803)</t>
        </is>
      </c>
      <c r="F3" s="23"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3" t="inlineStr">
        <is>
          <t>2026-10-05</t>
        </is>
      </c>
      <c r="B4" s="23" t="inlineStr">
        <is>
          <t>658424_R10_2026-10-05_0819.zip (versión integrada, armada sobre bmw_03_10_r1.zip)</t>
        </is>
      </c>
      <c r="C4" s="23" t="n">
        <v>0</v>
      </c>
      <c r="D4" s="23" t="n">
        <v>0</v>
      </c>
      <c r="E4" s="23" t="inlineStr">
        <is>
          <t>Contra la depuración fb8a4c8: 26 KRL con cambios de código, 2 módulos nuevos (GUN_OPEN_CHECK.src/.dat), 22 archivos fuera; contra el repositorio: idéntico (308 entradas). audit_backup: 0 FAIL, 0 WARN.</t>
        </is>
      </c>
      <c r="F4" s="23"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3" t="inlineStr">
        <is>
          <t>2026-10-05</t>
        </is>
      </c>
      <c r="B5" s="23" t="inlineStr">
        <is>
          <t>bmw_03_10_r1.zip (am.ini 2026-10-05 14:46)</t>
        </is>
      </c>
      <c r="C5" s="23" t="n">
        <v>0</v>
      </c>
      <c r="D5" s="23" t="n">
        <v>0</v>
      </c>
      <c r="E5" s="23"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3"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3" t="inlineStr">
        <is>
          <t>2026-10-05</t>
        </is>
      </c>
      <c r="B6" s="23" t="inlineStr">
        <is>
          <t>R10_paquete_2026-10-05_1351.zip (versión integrada sobre el respaldo de las 14:46; zip completo 658424_R10_2026-10-05_1351)</t>
        </is>
      </c>
      <c r="C6" s="23" t="n">
        <v>0</v>
      </c>
      <c r="D6" s="23" t="n">
        <v>0</v>
      </c>
      <c r="E6" s="23" t="inlineStr">
        <is>
          <t>Contra el respaldo de las 14:46: 57 programas a reemplazar, 2 a agregar (Styles/Options), 24 a borrar. Contra la depuración fb8a4c8: 38 KRL con cambios de código; audit_backup 0 FAIL, 0 WARN; zip idéntico al repositorio.</t>
        </is>
      </c>
      <c r="F6" s="23"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3" t="inlineStr">
        <is>
          <t>2026-10-07</t>
        </is>
      </c>
      <c r="B7" s="23" t="inlineStr">
        <is>
          <t>R10_paquete_2026-10-07_1341.zip (etapa 1 de tiempo ciclo sobre el respaldo de las 14:46 del 2026-10-05; incluye todo el paquete del 2026-10-05; zip completo 658424_R10_2026-10-07_1340)</t>
        </is>
      </c>
      <c r="C7" s="23" t="n">
        <v>0</v>
      </c>
      <c r="D7" s="23" t="n">
        <v>0</v>
      </c>
      <c r="E7" s="23"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3"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3" t="inlineStr">
        <is>
          <t>2026-10-11</t>
        </is>
      </c>
      <c r="B8" s="23" t="inlineStr">
        <is>
          <t>bmw_03_10_r1.zip del 2026-10-05 14:46 (sin respaldo nuevo): pasa a ser la base, commit 468e29f</t>
        </is>
      </c>
      <c r="C8" s="23" t="n">
        <v>0</v>
      </c>
      <c r="D8" s="23" t="n">
        <v>0</v>
      </c>
      <c r="E8" s="23"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3"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3" t="inlineStr">
        <is>
          <t>2026-10-11</t>
        </is>
      </c>
      <c r="B9" s="23" t="inlineStr">
        <is>
          <t>V431_03_WINDOWS-2CPT70E_BMW_03_10_R1_658424.zip (am.ini 2026-10-10 21:20, robot BMW_03_10_R1, serie 658424, KSS 8.3.29); importado byte por byte en cd17b34</t>
        </is>
      </c>
      <c r="C9" s="23" t="n">
        <v>10</v>
      </c>
      <c r="D9" s="23" t="n">
        <v>0</v>
      </c>
      <c r="E9" s="23"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3"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2026-10-11T14:01:29Z</dcterms:created>
  <dcterms:modified xsi:type="dcterms:W3CDTF">2026-10-11T14:01:29Z</dcterms:modified>
</cp:coreProperties>
</file>