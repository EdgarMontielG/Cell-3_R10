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abiertos'!$A$1:$Q$77</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B42318"/>
      <sz val="9"/>
    </font>
    <font>
      <name val="Arial"/>
      <color rgb="00C4561D"/>
      <sz val="9"/>
    </font>
    <font>
      <name val="Arial"/>
      <color rgb="00A16207"/>
      <sz val="9"/>
    </font>
    <font>
      <name val="Arial"/>
      <color rgb="0052606D"/>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6">
    <fill>
      <patternFill/>
    </fill>
    <fill>
      <patternFill patternType="gray125"/>
    </fill>
    <fill>
      <patternFill patternType="solid">
        <fgColor rgb="001D4E89"/>
      </patternFill>
    </fill>
    <fill>
      <patternFill patternType="solid">
        <fgColor rgb="00C6EFCE"/>
      </patternFill>
    </fill>
    <fill>
      <patternFill patternType="solid">
        <fgColor rgb="00FFF4C2"/>
      </patternFill>
    </fill>
    <fill>
      <patternFill patternType="solid">
        <fgColor rgb="00E4E7EB"/>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5"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77"/>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F01</t>
        </is>
      </c>
      <c r="B2" s="3" t="inlineStr">
        <is>
          <t>Ethos</t>
        </is>
      </c>
      <c r="C2" s="4" t="inlineStr">
        <is>
          <t>Crítico</t>
        </is>
      </c>
      <c r="D2" s="3" t="inlineStr">
        <is>
          <t>Entrada al pedestal sin confirmar gun abierto, clamp abierto y QFP regresado</t>
        </is>
      </c>
      <c r="E2" s="3" t="inlineStr">
        <is>
          <t>Código + prueba en celda</t>
        </is>
      </c>
      <c r="F2" s="3" t="inlineStr">
        <is>
          <t>Programador robot</t>
        </is>
      </c>
      <c r="G2" s="3" t="inlineStr">
        <is>
          <t>KRC/R1/Program/StyleApps/Options/style1app1opt1.src, KRC/R1/Program/StyleApps/Options/style1app1opt2.src, KRC/R1/Program/StyleApps/Options/style1app1opt3.src, KRC/R1/Program/Centerline/PRELOAD.src, KRC/R1/Program/Centerline/centerline_weld.src</t>
        </is>
      </c>
      <c r="H2" s="3"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ningún encabezado de inline form ni línea dentro de un fold de form cambia sin estar declarado (F32, F21, F31).</t>
        </is>
      </c>
      <c r="I2" s="3" t="inlineStr"/>
      <c r="J2" s="3" t="inlineStr">
        <is>
          <t>Cerrado - auditado</t>
        </is>
      </c>
      <c r="K2" s="3" t="inlineStr"/>
      <c r="L2" s="3" t="inlineStr"/>
      <c r="M2" s="3" t="inlineStr"/>
      <c r="N2" s="3" t="inlineStr"/>
      <c r="O2" s="3" t="inlineStr">
        <is>
          <t>Nota</t>
        </is>
      </c>
      <c r="P2" s="3" t="inlineStr">
        <is>
          <t>2026-10-13</t>
        </is>
      </c>
      <c r="Q2" s="3" t="inlineStr">
        <is>
          <t>Respaldo del 13/10 07:32. GUN_OPEN_LOST (interrupciones 20-24) ahora regresa sin frenar si al atenderla ya está todo bien (submit corriendo, pistola en rango abierto, clamp abierto, pin retraído): una caída corta de la señal ya no detiene el robot; si la condición sigue, frena como antes. El mensaje dice cuál condición falta (submit, pistola con su posición, clamp o pin con su posición) (gun_open_check.src:116-188). Preguntar si hubo paros en falso.</t>
        </is>
      </c>
    </row>
    <row r="3">
      <c r="A3" s="2" t="inlineStr">
        <is>
          <t>F02</t>
        </is>
      </c>
      <c r="B3" s="3" t="inlineStr">
        <is>
          <t>Ethos</t>
        </is>
      </c>
      <c r="C3" s="5" t="inlineStr">
        <is>
          <t>Alto</t>
        </is>
      </c>
      <c r="D3" s="3" t="inlineStr">
        <is>
          <t>Options 2, 7 y 8 no evalúan el sensor de tuercas: solo decide la cámara</t>
        </is>
      </c>
      <c r="E3" s="3" t="inlineStr">
        <is>
          <t>Código + prueba en celda</t>
        </is>
      </c>
      <c r="F3" s="3" t="inlineStr">
        <is>
          <t>Programador robot + Gestamp controles</t>
        </is>
      </c>
      <c r="G3" s="3" t="inlineStr">
        <is>
          <t>KRC/R1/Program/StyleApps/Options/style1app2opt1.src, KRC/R1/Program/StyleApps/Options/style1app2opt2.src, KRC/R1/Program/Styles/style_1.src, KRC/R1/Program/Styles/Options/style1opt1.src</t>
        </is>
      </c>
      <c r="H3" s="3"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ningún encabezado de inline form ni línea dentro de un fold de form cambia sin estar declarado (F32, F21, F31).</t>
        </is>
      </c>
      <c r="I3" s="3" t="inlineStr">
        <is>
          <t>G07</t>
        </is>
      </c>
      <c r="J3" s="3" t="inlineStr">
        <is>
          <t>Se cierra con otro punto</t>
        </is>
      </c>
      <c r="K3" s="3" t="inlineStr"/>
      <c r="L3" s="3" t="inlineStr"/>
      <c r="M3" s="3" t="inlineStr"/>
      <c r="N3" s="3" t="inlineStr"/>
      <c r="O3" s="3" t="inlineStr">
        <is>
          <t>Cambio de base</t>
        </is>
      </c>
      <c r="P3" s="3" t="inlineStr">
        <is>
          <t>2026-10-11</t>
        </is>
      </c>
      <c r="Q3" s="3" t="inlineStr">
        <is>
          <t>Base = programa del programador (respaldo del 2026-10-05 14:46). El nut check ya evalúa las options 1, 2, 7 y 8 y escribe bScrapGE4 TRUE o FALSE (style1app2opt1.src:140-145). Queda la definición de options: G07.</t>
        </is>
      </c>
    </row>
    <row r="4">
      <c r="A4" s="6" t="inlineStr">
        <is>
          <t>F03</t>
        </is>
      </c>
      <c r="B4" s="7" t="inlineStr">
        <is>
          <t>Calvin #8</t>
        </is>
      </c>
      <c r="C4" s="8" t="inlineStr">
        <is>
          <t>Alto</t>
        </is>
      </c>
      <c r="D4" s="7" t="inlineStr">
        <is>
          <t>PARTPRESENT1..3 y bscrapGE4 no se resetean al inicio del ciclo</t>
        </is>
      </c>
      <c r="E4" s="7" t="inlineStr">
        <is>
          <t>Código + prueba en celda</t>
        </is>
      </c>
      <c r="F4" s="7" t="inlineStr">
        <is>
          <t>Programador robot</t>
        </is>
      </c>
      <c r="G4" s="7" t="inlineStr">
        <is>
          <t>KRC/R1/Program/Styles/Options/style1opt1.src, KRC/R1/Program/Styles/Options/Style1Opt10AutoRR.src, KRC/R1/Program/StyleApps/Options/style1app2opt1.src, KRC/R1/System/$config.dat</t>
        </is>
      </c>
      <c r="H4" s="7"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ningún encabezado de inline form ni línea dentro de un fold de form cambia sin estar declarado (F32, F21, F31).</t>
        </is>
      </c>
      <c r="I4" s="7" t="inlineStr">
        <is>
          <t>F02</t>
        </is>
      </c>
      <c r="J4" s="9" t="inlineStr">
        <is>
          <t>Abierto</t>
        </is>
      </c>
      <c r="K4" s="9" t="inlineStr"/>
      <c r="L4" s="9" t="inlineStr"/>
      <c r="M4" s="9" t="inlineStr"/>
      <c r="N4" s="9" t="inlineStr"/>
      <c r="O4" s="10" t="inlineStr">
        <is>
          <t>Avance del programador</t>
        </is>
      </c>
      <c r="P4" s="10" t="inlineStr">
        <is>
          <t>2026-10-11</t>
        </is>
      </c>
      <c r="Q4" s="10" t="inlineStr">
        <is>
          <t>Respaldo del 10/10 (versión de oficina del 05/10 cargada + cambios suyos del 06 al 10/10). PARTPRESENTn se asigna TRUE o FALSE en cada lectura y el nut check pone bscrapGE4=FALSE al empezar y lo decide en CASE 1,2,7,8. Falta el reset al inicio del ciclo (antes del pick) y la prueba.</t>
        </is>
      </c>
    </row>
    <row r="5">
      <c r="A5" s="6" t="inlineStr">
        <is>
          <t>F04</t>
        </is>
      </c>
      <c r="B5" s="7" t="inlineStr">
        <is>
          <t>Ethos</t>
        </is>
      </c>
      <c r="C5" s="8" t="inlineStr">
        <is>
          <t>Alto</t>
        </is>
      </c>
      <c r="D5" s="7" t="inlineStr">
        <is>
          <t>Dry cycle se cuelga en la primera weld app: PRELOAD borra NUT_READY y nunca lo pone</t>
        </is>
      </c>
      <c r="E5" s="7" t="inlineStr">
        <is>
          <t>Código + prueba en celda</t>
        </is>
      </c>
      <c r="F5" s="7" t="inlineStr">
        <is>
          <t>Programador robot</t>
        </is>
      </c>
      <c r="G5" s="7"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5" s="7"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ningún encabezado de inline form ni línea dentro de un fold de form cambia sin estar declarado (F32, F21, F31).</t>
        </is>
      </c>
      <c r="I5" s="7" t="inlineStr"/>
      <c r="J5" s="9" t="inlineStr">
        <is>
          <t>Abierto</t>
        </is>
      </c>
      <c r="K5" s="9" t="inlineStr"/>
      <c r="L5" s="9" t="inlineStr"/>
      <c r="M5" s="9" t="inlineStr"/>
      <c r="N5" s="9" t="inlineStr"/>
      <c r="O5" s="10" t="inlineStr">
        <is>
          <t>Alta (Ethos)</t>
        </is>
      </c>
      <c r="P5" s="10" t="inlineStr">
        <is>
          <t>2026-10-04</t>
        </is>
      </c>
      <c r="Q5" s="10" t="inlineStr">
        <is>
          <t>Revisión Ethos del respaldo 658424 (v431_03_10_r1.zip del 2026-10-02).</t>
        </is>
      </c>
    </row>
    <row r="6">
      <c r="A6" s="6" t="inlineStr">
        <is>
          <t>F05</t>
        </is>
      </c>
      <c r="B6" s="7" t="inlineStr">
        <is>
          <t>Ethos</t>
        </is>
      </c>
      <c r="C6" s="8" t="inlineStr">
        <is>
          <t>Alto</t>
        </is>
      </c>
      <c r="D6" s="7" t="inlineStr">
        <is>
          <t>Dry cycle releído en cada paso: un cambio a mitad de ciclo deja pasar pieza incompleta</t>
        </is>
      </c>
      <c r="E6" s="7" t="inlineStr">
        <is>
          <t>Código + prueba en celda</t>
        </is>
      </c>
      <c r="F6" s="7" t="inlineStr">
        <is>
          <t>Programador robot</t>
        </is>
      </c>
      <c r="G6" s="7"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6" s="7"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ningún encabezado de inline form ni línea dentro de un fold de form cambia sin estar declarado (F32, F21, F31).</t>
        </is>
      </c>
      <c r="I6" s="7" t="inlineStr"/>
      <c r="J6" s="9" t="inlineStr">
        <is>
          <t>Abierto</t>
        </is>
      </c>
      <c r="K6" s="9" t="inlineStr"/>
      <c r="L6" s="9" t="inlineStr"/>
      <c r="M6" s="9" t="inlineStr"/>
      <c r="N6" s="9" t="inlineStr"/>
      <c r="O6" s="10" t="inlineStr">
        <is>
          <t>Alta (Ethos)</t>
        </is>
      </c>
      <c r="P6" s="10" t="inlineStr">
        <is>
          <t>2026-10-04</t>
        </is>
      </c>
      <c r="Q6" s="10" t="inlineStr">
        <is>
          <t>Revisión Ethos del respaldo 658424 (v431_03_10_r1.zip del 2026-10-02).</t>
        </is>
      </c>
    </row>
    <row r="7">
      <c r="A7" s="6" t="inlineStr">
        <is>
          <t>F06</t>
        </is>
      </c>
      <c r="B7" s="7" t="inlineStr">
        <is>
          <t>Ethos</t>
        </is>
      </c>
      <c r="C7" s="8" t="inlineStr">
        <is>
          <t>Alto</t>
        </is>
      </c>
      <c r="D7" s="7" t="inlineStr">
        <is>
          <t>Ciclos vacíos o silenciosos: pick ambiguo, style u option desconocidos</t>
        </is>
      </c>
      <c r="E7" s="7" t="inlineStr">
        <is>
          <t>Código + prueba en celda</t>
        </is>
      </c>
      <c r="F7" s="7" t="inlineStr">
        <is>
          <t>Programador robot</t>
        </is>
      </c>
      <c r="G7" s="7" t="inlineStr">
        <is>
          <t>KRC/R1/Program/Styles/Options/style1opt1.src, KRC/R1/Program/Styles/style_1.src, KRC/R1/cell.src</t>
        </is>
      </c>
      <c r="H7" s="7"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ningún encabezado de inline form ni línea dentro de un fold de form cambia sin estar declarado (F32, F21, F31).</t>
        </is>
      </c>
      <c r="I7" s="7" t="inlineStr">
        <is>
          <t>F02</t>
        </is>
      </c>
      <c r="J7" s="9" t="inlineStr">
        <is>
          <t>Abierto</t>
        </is>
      </c>
      <c r="K7" s="9" t="inlineStr"/>
      <c r="L7" s="9" t="inlineStr"/>
      <c r="M7" s="9" t="inlineStr"/>
      <c r="N7" s="9" t="inlineStr"/>
      <c r="O7" s="10" t="inlineStr">
        <is>
          <t>Alta (Ethos)</t>
        </is>
      </c>
      <c r="P7" s="10" t="inlineStr">
        <is>
          <t>2026-10-04</t>
        </is>
      </c>
      <c r="Q7" s="10" t="inlineStr">
        <is>
          <t>Revisión Ethos del respaldo 658424 (v431_03_10_r1.zip del 2026-10-02).</t>
        </is>
      </c>
    </row>
    <row r="8">
      <c r="A8" s="6" t="inlineStr">
        <is>
          <t>F07</t>
        </is>
      </c>
      <c r="B8" s="7" t="inlineStr">
        <is>
          <t>Ethos</t>
        </is>
      </c>
      <c r="C8" s="8" t="inlineStr">
        <is>
          <t>Alto</t>
        </is>
      </c>
      <c r="D8" s="7" t="inlineStr">
        <is>
          <t>Chequeo de gun cerrado: HALT sin mensaje como manejo de falla</t>
        </is>
      </c>
      <c r="E8" s="7" t="inlineStr">
        <is>
          <t>Código + prueba en celda</t>
        </is>
      </c>
      <c r="F8" s="7" t="inlineStr">
        <is>
          <t>Programador robot</t>
        </is>
      </c>
      <c r="G8" s="7" t="inlineStr">
        <is>
          <t>KRC/R1/Program/Centerline/centerline_weld.src</t>
        </is>
      </c>
      <c r="H8" s="7"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ningún encabezado de inline form ni línea dentro de un fold de form cambia sin estar declarado (F32, F21, F31).</t>
        </is>
      </c>
      <c r="I8" s="7" t="inlineStr"/>
      <c r="J8" s="9" t="inlineStr">
        <is>
          <t>Abierto</t>
        </is>
      </c>
      <c r="K8" s="9" t="inlineStr"/>
      <c r="L8" s="9" t="inlineStr"/>
      <c r="M8" s="9" t="inlineStr"/>
      <c r="N8" s="9" t="inlineStr"/>
      <c r="O8" s="10" t="inlineStr">
        <is>
          <t>Avance del programador</t>
        </is>
      </c>
      <c r="P8" s="10" t="inlineStr">
        <is>
          <t>2026-10-11</t>
        </is>
      </c>
      <c r="Q8" s="10" t="inlineStr">
        <is>
          <t>Respaldo del 10/10 (versión de oficina del 05/10 cargada + cambios suyos del 06 al 10/10). GUN_CLOSE_FAULT da mensaje (sin tuerca / doble tuerca) y prende la luz roja; antes reintenta una vez con tuerca nueva (G17). Después del reintento sigue un HALT (centerline_weld.src:235). La ventana bajó de 300 a 150 ms (CL_GUN_IN_WINDOW_TIME): Gestamp pide la pistola estable 200 ms (SensorSettle).</t>
        </is>
      </c>
    </row>
    <row r="9">
      <c r="A9" s="2" t="inlineStr">
        <is>
          <t>F08</t>
        </is>
      </c>
      <c r="B9" s="3" t="inlineStr">
        <is>
          <t>Calvin #2</t>
        </is>
      </c>
      <c r="C9" s="5" t="inlineStr">
        <is>
          <t>Alto</t>
        </is>
      </c>
      <c r="D9" s="3" t="inlineStr">
        <is>
          <t>Resultado de soldadura Bosch no evaluado: weld complete se toma como soldadura buena</t>
        </is>
      </c>
      <c r="E9" s="3" t="inlineStr">
        <is>
          <t>Código + prueba en celda</t>
        </is>
      </c>
      <c r="F9" s="3" t="inlineStr">
        <is>
          <t>Programador robot + Gestamp controles</t>
        </is>
      </c>
      <c r="G9" s="3" t="inlineStr">
        <is>
          <t>KRC/R1/Program/Centerline/centerline_weld.src, KRC/R1/Program/Styles/Options/style1opt1.src</t>
        </is>
      </c>
      <c r="H9" s="3"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ningún encabezado de inline form ni línea dentro de un fold de form cambia sin estar declarado (F32, F21, F31).</t>
        </is>
      </c>
      <c r="I9" s="3" t="inlineStr">
        <is>
          <t>F44</t>
        </is>
      </c>
      <c r="J9" s="3" t="inlineStr">
        <is>
          <t>Aceptado sin cambio</t>
        </is>
      </c>
      <c r="K9" s="3" t="inlineStr"/>
      <c r="L9" s="3" t="inlineStr"/>
      <c r="M9" s="3" t="inlineStr"/>
      <c r="N9" s="3" t="inlineStr"/>
      <c r="O9" s="3" t="inlineStr">
        <is>
          <t>Avance del programador</t>
        </is>
      </c>
      <c r="P9" s="3" t="inlineStr">
        <is>
          <t>2026-10-11</t>
        </is>
      </c>
      <c r="Q9" s="3" t="inlineStr">
        <is>
          <t>Respaldo del 10/10 (versión de oficina del 05/10 cargada + cambios suyos del 06 al 10/10). WELD_COMPLETE_WAIT espera WeldComplete con timeout (CL_WELD_COMPLETE_TIMEOUT 3000 ms) y lee la falla del Bosch ($IN[485]) con mensaje y luz roja: ya hace más que el paquete NutWeld de Gestamp.</t>
        </is>
      </c>
    </row>
    <row r="10">
      <c r="A10" s="6" t="inlineStr">
        <is>
          <t>F09</t>
        </is>
      </c>
      <c r="B10" s="7" t="inlineStr">
        <is>
          <t>Ethos</t>
        </is>
      </c>
      <c r="C10" s="8" t="inlineStr">
        <is>
          <t>Alto</t>
        </is>
      </c>
      <c r="D10" s="7" t="inlineStr">
        <is>
          <t>Resultado del flujo de agua descartado; $OUT[475] forzado en ON</t>
        </is>
      </c>
      <c r="E10" s="7" t="inlineStr">
        <is>
          <t>Código + prueba en celda</t>
        </is>
      </c>
      <c r="F10" s="7" t="inlineStr">
        <is>
          <t>Programador robot + Puesta en marcha</t>
        </is>
      </c>
      <c r="G10" s="7" t="inlineStr">
        <is>
          <t>KRC/R1/System/sps.sub, KRC/R1/Program/Centerline/centerline_weld.src, KRC/R1/Program/Centerline/CENTERLINE_HOME.src, KRC/R1/Program/Utilities/gunelectrodechange.src, KRC/R1/System/$config.dat</t>
        </is>
      </c>
      <c r="H10" s="7"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ningún encabezado de inline form ni línea dentro de un fold de form cambia sin estar declarado (F32, F21, F31).</t>
        </is>
      </c>
      <c r="I10" s="7" t="inlineStr"/>
      <c r="J10" s="9" t="inlineStr">
        <is>
          <t>Abierto</t>
        </is>
      </c>
      <c r="K10" s="9" t="inlineStr"/>
      <c r="L10" s="9" t="inlineStr"/>
      <c r="M10" s="9" t="inlineStr"/>
      <c r="N10" s="9" t="inlineStr"/>
      <c r="O10" s="10" t="inlineStr">
        <is>
          <t>Evidencia parcial</t>
        </is>
      </c>
      <c r="P10" s="10" t="inlineStr">
        <is>
          <t>2026-10-05</t>
        </is>
      </c>
      <c r="Q10" s="10" t="inlineStr">
        <is>
          <t>Respaldo 14:46: nWaterFlow = 233 (23.3 l/min) con agua normal en este robot, arriba del mínimo de 15 l/min. Falta la prueba con agua cerrada y la espera antes del weld start.</t>
        </is>
      </c>
    </row>
    <row r="11">
      <c r="A11" s="6" t="inlineStr">
        <is>
          <t>F10</t>
        </is>
      </c>
      <c r="B11" s="7" t="inlineStr">
        <is>
          <t>Ethos</t>
        </is>
      </c>
      <c r="C11" s="8" t="inlineStr">
        <is>
          <t>Alto</t>
        </is>
      </c>
      <c r="D11" s="7" t="inlineStr">
        <is>
          <t>Sin estado seguro del pedestal al cancelar o resetear el programa</t>
        </is>
      </c>
      <c r="E11" s="7" t="inlineStr">
        <is>
          <t>Código + prueba en celda</t>
        </is>
      </c>
      <c r="F11" s="7" t="inlineStr">
        <is>
          <t>Programador robot</t>
        </is>
      </c>
      <c r="G11" s="7" t="inlineStr">
        <is>
          <t>KRC/R1/System/sps.sub, KRC/R1/cell.src, KRC/R1/Program/Centerline/centerline_weld.src</t>
        </is>
      </c>
      <c r="H11" s="7"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ningún encabezado de inline form ni línea dentro de un fold de form cambia sin estar declarado (F32, F21, F31).</t>
        </is>
      </c>
      <c r="I11" s="7" t="inlineStr">
        <is>
          <t>F11, F44</t>
        </is>
      </c>
      <c r="J11" s="9" t="inlineStr">
        <is>
          <t>Abierto</t>
        </is>
      </c>
      <c r="K11" s="9" t="inlineStr"/>
      <c r="L11" s="9" t="inlineStr"/>
      <c r="M11" s="9" t="inlineStr"/>
      <c r="N11" s="9" t="inlineStr"/>
      <c r="O11" s="10" t="inlineStr">
        <is>
          <t>Avance parcial</t>
        </is>
      </c>
      <c r="P11" s="10" t="inlineStr">
        <is>
          <t>2026-10-12</t>
        </is>
      </c>
      <c r="Q11" s="10" t="inlineStr">
        <is>
          <t>Respaldo del 11/10 22:32. Con NutWeld_BKG activo, NutWeld_ProcessReset (programa cancelado o reseteado) apaga weld init y el programa del Bosch, y también intensify y blow-off si PRELOAD no está corriendo. Falta el resto del estado seguro (feed, presión base, pistola y clamp).</t>
        </is>
      </c>
    </row>
    <row r="12">
      <c r="A12" s="6" t="inlineStr">
        <is>
          <t>F11</t>
        </is>
      </c>
      <c r="B12" s="7" t="inlineStr">
        <is>
          <t>Ethos</t>
        </is>
      </c>
      <c r="C12" s="11" t="inlineStr">
        <is>
          <t>Crítico</t>
        </is>
      </c>
      <c r="D12" s="7" t="inlineStr">
        <is>
          <t>PRELOAD en el submit mueve el pedestal en cualquier modo, sin dueño de las salidas</t>
        </is>
      </c>
      <c r="E12" s="7" t="inlineStr">
        <is>
          <t>Código + prueba en celda</t>
        </is>
      </c>
      <c r="F12" s="7" t="inlineStr">
        <is>
          <t>Seguridad + Programador robot</t>
        </is>
      </c>
      <c r="G12" s="7"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12" s="7"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ningún encabezado de inline form ni línea dentro de un fold de form cambia sin estar declarado (F32, F21, F31).</t>
        </is>
      </c>
      <c r="I12" s="7" t="inlineStr"/>
      <c r="J12" s="9" t="inlineStr">
        <is>
          <t>Requiere decisión</t>
        </is>
      </c>
      <c r="K12" s="9" t="inlineStr"/>
      <c r="L12" s="9" t="inlineStr"/>
      <c r="M12" s="9" t="inlineStr"/>
      <c r="N12" s="9" t="inlineStr"/>
      <c r="O12" s="10" t="inlineStr">
        <is>
          <t>Alta (Ethos)</t>
        </is>
      </c>
      <c r="P12" s="10" t="inlineStr">
        <is>
          <t>2026-10-04</t>
        </is>
      </c>
      <c r="Q12" s="10" t="inlineStr">
        <is>
          <t>Revisión Ethos del respaldo 658424 (v431_03_10_r1.zip del 2026-10-02).</t>
        </is>
      </c>
    </row>
    <row r="13">
      <c r="A13" s="6" t="inlineStr">
        <is>
          <t>F12</t>
        </is>
      </c>
      <c r="B13" s="7" t="inlineStr">
        <is>
          <t>Ethos</t>
        </is>
      </c>
      <c r="C13" s="8" t="inlineStr">
        <is>
          <t>Alto</t>
        </is>
      </c>
      <c r="D13" s="7" t="inlineStr">
        <is>
          <t>Background de AutomationCore y NutWeld deshabilitado: los bits de estado al PLC no cambian</t>
        </is>
      </c>
      <c r="E13" s="7" t="inlineStr">
        <is>
          <t>Decisión Gestamp</t>
        </is>
      </c>
      <c r="F13" s="7" t="inlineStr">
        <is>
          <t>Gestamp controles + Programador robot</t>
        </is>
      </c>
      <c r="G13" s="7" t="inlineStr">
        <is>
          <t>KRC/R1/System/sps.sub, KRC/R1/TP/AutomationCore/automationcoreroutines.src, KRC/R1/TP/NutWeld/nutweldroutines.src, KRC/R1/System/$config.dat, KRC/R1/Program/Utilities/pouncetohome.src, KRC/R1/Program/Utilities/gunelectrodechange.src, KRC/R1/cell.src</t>
        </is>
      </c>
      <c r="H13" s="7"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ningún encabezado de inline form ni línea dentro de un fold de form cambia sin estar declarado (F32, F21, F31).</t>
        </is>
      </c>
      <c r="I13" s="7" t="inlineStr">
        <is>
          <t>F17, F35</t>
        </is>
      </c>
      <c r="J13" s="9" t="inlineStr">
        <is>
          <t>En proceso</t>
        </is>
      </c>
      <c r="K13" s="9" t="inlineStr"/>
      <c r="L13" s="9" t="inlineStr"/>
      <c r="M13" s="9" t="inlineStr"/>
      <c r="N13" s="9" t="inlineStr"/>
      <c r="O13" s="10" t="inlineStr">
        <is>
          <t>Avance del programador</t>
        </is>
      </c>
      <c r="P13" s="10" t="inlineStr">
        <is>
          <t>2026-10-12</t>
        </is>
      </c>
      <c r="Q13" s="10" t="inlineStr">
        <is>
          <t>Respaldo del 11/10 22:32. NutWeld_BKG activo, como Gestamp: luces de tolva y estado del stepper al PLC salen de ahí (quitó su copia de sps.sub); las escrituras de pistolas 2/3 quedaron condicionadas a nMaxGunNr=1 porque se traslapan con CL_GunPressureCmd, y el reset de NutWeld no apaga intensify ni blow-off mientras corre PRELOAD. NutWeld_Bkg escribe $OUT[470] dopw1_Hidraulyc_Valve = $PERI_RDY (AutomationCore lo declara Spare): confirmar que no tiene nada conectado. AutomationCore_BKG sigue apagado desde el 10/10 (C01).</t>
        </is>
      </c>
    </row>
    <row r="14">
      <c r="A14" s="6" t="inlineStr">
        <is>
          <t>F13</t>
        </is>
      </c>
      <c r="B14" s="7" t="inlineStr">
        <is>
          <t>Calvin #6</t>
        </is>
      </c>
      <c r="C14" s="12" t="inlineStr">
        <is>
          <t>Medio</t>
        </is>
      </c>
      <c r="D14" s="7" t="inlineStr">
        <is>
          <t>PRELOAD sin timeouts por paso, sin falla y banderas de tuerca lista sin confirmar alimentación</t>
        </is>
      </c>
      <c r="E14" s="7" t="inlineStr">
        <is>
          <t>Código + prueba en celda</t>
        </is>
      </c>
      <c r="F14" s="7" t="inlineStr">
        <is>
          <t>Programador robot</t>
        </is>
      </c>
      <c r="G14" s="7" t="inlineStr">
        <is>
          <t>KRC/R1/Program/Centerline/PRELOAD.src, KRC/R1/System/$config.dat, KRC/R1/Program/StyleApps/Options/style1app1opt1.src, KRC/R1/Program/StyleApps/Options/style1app1opt2.src, KRC/R1/Program/StyleApps/Options/style1app1opt3.src</t>
        </is>
      </c>
      <c r="H14" s="7"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ningún encabezado de inline form ni línea dentro de un fold de form cambia sin estar declarado (F32, F21, F31).</t>
        </is>
      </c>
      <c r="I14" s="7" t="inlineStr">
        <is>
          <t>F01, F11</t>
        </is>
      </c>
      <c r="J14" s="9" t="inlineStr">
        <is>
          <t>Abierto</t>
        </is>
      </c>
      <c r="K14" s="9" t="inlineStr"/>
      <c r="L14" s="9" t="inlineStr"/>
      <c r="M14" s="9" t="inlineStr"/>
      <c r="N14" s="9" t="inlineStr"/>
      <c r="O14" s="10" t="inlineStr">
        <is>
          <t>Avance del programador</t>
        </is>
      </c>
      <c r="P14" s="10" t="inlineStr">
        <is>
          <t>2026-10-12</t>
        </is>
      </c>
      <c r="Q14" s="10" t="inlineStr">
        <is>
          <t>Respaldo del 11/10 22:32. Quitó nFeedSettleMs: la alimentación vuelve a 2000 ms por tiempo, como R20 (el 10/10 la había subido a 5 s porque faltaban tuercas). Sigue sin leer $IN[481] dipw1_FeedComplt: si vuelven a faltar tuercas, esa es la corrección.</t>
        </is>
      </c>
    </row>
    <row r="15">
      <c r="A15" s="6" t="inlineStr">
        <is>
          <t>F15</t>
        </is>
      </c>
      <c r="B15" s="7" t="inlineStr">
        <is>
          <t>Calvin #1</t>
        </is>
      </c>
      <c r="C15" s="12" t="inlineStr">
        <is>
          <t>Medio</t>
        </is>
      </c>
      <c r="D15" s="7" t="inlineStr">
        <is>
          <t>Unos 35 WAIT FOR sobre entradas de proceso sin timeout ni mensaje</t>
        </is>
      </c>
      <c r="E15" s="7" t="inlineStr">
        <is>
          <t>Código + prueba en celda</t>
        </is>
      </c>
      <c r="F15" s="7" t="inlineStr">
        <is>
          <t>Programador robot</t>
        </is>
      </c>
      <c r="G15" s="7"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15" s="7"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ningún encabezado de inline form ni línea dentro de un fold de form cambia sin estar declarado (F32, F21, F31).</t>
        </is>
      </c>
      <c r="I15" s="7" t="inlineStr">
        <is>
          <t>F01, F07, F10</t>
        </is>
      </c>
      <c r="J15" s="9" t="inlineStr">
        <is>
          <t>Abierto</t>
        </is>
      </c>
      <c r="K15" s="9" t="inlineStr"/>
      <c r="L15" s="9" t="inlineStr"/>
      <c r="M15" s="9" t="inlineStr"/>
      <c r="N15" s="9" t="inlineStr"/>
      <c r="O15" s="10" t="inlineStr">
        <is>
          <t>Avance del programador</t>
        </is>
      </c>
      <c r="P15" s="10" t="inlineStr">
        <is>
          <t>2026-10-12</t>
        </is>
      </c>
      <c r="Q15" s="10" t="inlineStr">
        <is>
          <t>Respaldo del 11/10 22:32. La cámara espera el resultado con timeout de 5 s; sin resultado la pieza va a scrap (sin mensaje). La espera de $IN[80] di080ToolRepositioned1 sigue sin timeout.</t>
        </is>
      </c>
    </row>
    <row r="16">
      <c r="A16" s="6" t="inlineStr">
        <is>
          <t>F16</t>
        </is>
      </c>
      <c r="B16" s="7" t="inlineStr">
        <is>
          <t>Ethos</t>
        </is>
      </c>
      <c r="C16" s="12" t="inlineStr">
        <is>
          <t>Medio</t>
        </is>
      </c>
      <c r="D16" s="7" t="inlineStr">
        <is>
          <t>Posición del pin superior nunca verificada</t>
        </is>
      </c>
      <c r="E16" s="7" t="inlineStr">
        <is>
          <t>Código + prueba en celda</t>
        </is>
      </c>
      <c r="F16" s="7" t="inlineStr">
        <is>
          <t>Programador robot / Puesta en marcha</t>
        </is>
      </c>
      <c r="G16" s="7" t="inlineStr">
        <is>
          <t>KRC/R1/Program/Centerline/centerline_weld.src, KRC/R1/System/$config.dat, KRC/R1/System/sps.sub</t>
        </is>
      </c>
      <c r="H16" s="7"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ningún encabezado de inline form ni línea dentro de un fold de form cambia sin estar declarado (F32, F21, F31).</t>
        </is>
      </c>
      <c r="I16" s="7" t="inlineStr">
        <is>
          <t>F27</t>
        </is>
      </c>
      <c r="J16" s="9" t="inlineStr">
        <is>
          <t>Abierto</t>
        </is>
      </c>
      <c r="K16" s="9" t="inlineStr"/>
      <c r="L16" s="9" t="inlineStr"/>
      <c r="M16" s="9" t="inlineStr"/>
      <c r="N16" s="9" t="inlineStr"/>
      <c r="O16" s="10" t="inlineStr">
        <is>
          <t>Alta (Ethos)</t>
        </is>
      </c>
      <c r="P16" s="10" t="inlineStr">
        <is>
          <t>2026-10-04</t>
        </is>
      </c>
      <c r="Q16" s="10" t="inlineStr">
        <is>
          <t>Revisión Ethos del respaldo 658424 (v431_03_10_r1.zip del 2026-10-02).</t>
        </is>
      </c>
    </row>
    <row r="17">
      <c r="A17" s="6" t="inlineStr">
        <is>
          <t>F17</t>
        </is>
      </c>
      <c r="B17" s="7" t="inlineStr">
        <is>
          <t>Ethos</t>
        </is>
      </c>
      <c r="C17" s="12" t="inlineStr">
        <is>
          <t>Medio</t>
        </is>
      </c>
      <c r="D17" s="7" t="inlineStr">
        <is>
          <t>Declaraciones traslapadas; nombres dobles en los bits del pedestal</t>
        </is>
      </c>
      <c r="E17" s="7" t="inlineStr">
        <is>
          <t>Código</t>
        </is>
      </c>
      <c r="F17" s="7" t="inlineStr">
        <is>
          <t>Programador robot</t>
        </is>
      </c>
      <c r="G17" s="7" t="inlineStr">
        <is>
          <t>KRC/R1/System/$config.dat, KRC/R1/TP/AutomationCore/automationcoreroutines.dat, KRC/R1/TP/NutWeld/nutweldroutines.dat</t>
        </is>
      </c>
      <c r="H17" s="7"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ningún encabezado de inline form ni línea dentro de un fold de form cambia sin estar declarado (F32, F21, F31).</t>
        </is>
      </c>
      <c r="I17" s="7" t="inlineStr">
        <is>
          <t>F29</t>
        </is>
      </c>
      <c r="J17" s="9" t="inlineStr">
        <is>
          <t>Abierto</t>
        </is>
      </c>
      <c r="K17" s="9" t="inlineStr"/>
      <c r="L17" s="9" t="inlineStr"/>
      <c r="M17" s="9" t="inlineStr"/>
      <c r="N17" s="9" t="inlineStr"/>
      <c r="O17" s="10" t="inlineStr">
        <is>
          <t>Avance del programador</t>
        </is>
      </c>
      <c r="P17" s="10" t="inlineStr">
        <is>
          <t>2026-10-12</t>
        </is>
      </c>
      <c r="Q17" s="10" t="inlineStr">
        <is>
          <t>Respaldo del 11/10 22:32. Las escrituras de NutWeld_Bkg y NutWeld_ProcessReset a las pistolas 2/3 (traslapadas con CL_GunPressureCmd) quedaron condicionadas a nMaxGunNr (=1).</t>
        </is>
      </c>
    </row>
    <row r="18">
      <c r="A18" s="6" t="inlineStr">
        <is>
          <t>F18</t>
        </is>
      </c>
      <c r="B18" s="7" t="inlineStr">
        <is>
          <t>Ethos</t>
        </is>
      </c>
      <c r="C18" s="12" t="inlineStr">
        <is>
          <t>Medio</t>
        </is>
      </c>
      <c r="D18" s="7" t="inlineStr">
        <is>
          <t>KRC_IO.xml mapea $OUT[820..979] y $IN[820..930] sobre los mismos bytes del adapter PLC</t>
        </is>
      </c>
      <c r="E18" s="7" t="inlineStr">
        <is>
          <t>WorkVisual / configuración</t>
        </is>
      </c>
      <c r="F18" s="7" t="inlineStr">
        <is>
          <t>Gestamp controles / Programador robot</t>
        </is>
      </c>
      <c r="G18" s="7" t="inlineStr">
        <is>
          <t>C/KRC/Roboter/Config/User/Common/KRC_IO.xml, KRC/R1/Program/masref_user.src, KRC/R1/Program/Utilities/gunelectrodechange.src, KRC/R1/TP/AutomationCore/automationcoreroutines.dat, KRC/R1/TP/BrakeTest/braketeststart.src, KRC/R1/TP/BrakeTest/braketestback.src</t>
        </is>
      </c>
      <c r="H18" s="7"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ningún encabezado de inline form ni línea dentro de un fold de form cambia sin estar declarado (F32, F21, F31).</t>
        </is>
      </c>
      <c r="I18" s="7" t="inlineStr">
        <is>
          <t>F35</t>
        </is>
      </c>
      <c r="J18" s="9" t="inlineStr">
        <is>
          <t>Requiere decisión</t>
        </is>
      </c>
      <c r="K18" s="9" t="inlineStr"/>
      <c r="L18" s="9" t="inlineStr"/>
      <c r="M18" s="9" t="inlineStr"/>
      <c r="N18" s="9" t="inlineStr"/>
      <c r="O18" s="10" t="inlineStr">
        <is>
          <t>Alta (Ethos)</t>
        </is>
      </c>
      <c r="P18" s="10" t="inlineStr">
        <is>
          <t>2026-10-04</t>
        </is>
      </c>
      <c r="Q18" s="10" t="inlineStr">
        <is>
          <t>Revisión Ethos del respaldo 658424 (v431_03_10_r1.zip del 2026-10-02).</t>
        </is>
      </c>
    </row>
    <row r="19">
      <c r="A19" s="6" t="inlineStr">
        <is>
          <t>F19</t>
        </is>
      </c>
      <c r="B19" s="7" t="inlineStr">
        <is>
          <t>Calvin #26</t>
        </is>
      </c>
      <c r="C19" s="8" t="inlineStr">
        <is>
          <t>Alto</t>
        </is>
      </c>
      <c r="D19" s="7" t="inlineStr">
        <is>
          <t>Red rabbit: el ciclo no puede dar resultado y suelta la pieza por un mapeo duplicado</t>
        </is>
      </c>
      <c r="E19" s="7" t="inlineStr">
        <is>
          <t>Código + prueba en celda</t>
        </is>
      </c>
      <c r="F19" s="7" t="inlineStr">
        <is>
          <t>Programador robot / Gestamp controles</t>
        </is>
      </c>
      <c r="G19" s="7"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19" s="7"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19" s="7" t="inlineStr">
        <is>
          <t>F46, F31, F40, F03</t>
        </is>
      </c>
      <c r="J19" s="9" t="inlineStr">
        <is>
          <t>Abierto</t>
        </is>
      </c>
      <c r="K19" s="9" t="inlineStr"/>
      <c r="L19" s="9" t="inlineStr"/>
      <c r="M19" s="9" t="inlineStr"/>
      <c r="N19" s="9" t="inlineStr"/>
      <c r="O19" s="10" t="inlineStr">
        <is>
          <t>Sin cambio</t>
        </is>
      </c>
      <c r="P19" s="10" t="inlineStr">
        <is>
          <t>2026-10-11</t>
        </is>
      </c>
      <c r="Q19" s="10" t="inlineStr">
        <is>
          <t>Respaldo del 10/10 (versión de oficina del 05/10 cargada + cambios suyos del 06 al 10/10). El red rabbit sigue dando FAILED solo con las 3 tuercas (AND, style1app2opt1.src:164) y el drop red rabbit borra do141/do142 (ya fuera del fold).</t>
        </is>
      </c>
    </row>
    <row r="20">
      <c r="A20" s="2" t="inlineStr">
        <is>
          <t>F20</t>
        </is>
      </c>
      <c r="B20" s="3" t="inlineStr">
        <is>
          <t>Ethos</t>
        </is>
      </c>
      <c r="C20" s="13" t="inlineStr">
        <is>
          <t>Medio</t>
        </is>
      </c>
      <c r="D20" s="3" t="inlineStr">
        <is>
          <t>Rechazo por nut check: Application 1 sin liberar</t>
        </is>
      </c>
      <c r="E20" s="3" t="inlineStr">
        <is>
          <t>Código + prueba en celda</t>
        </is>
      </c>
      <c r="F20" s="3" t="inlineStr">
        <is>
          <t>Programador robot / Gestamp controles</t>
        </is>
      </c>
      <c r="G20" s="3" t="inlineStr">
        <is>
          <t>KRC/R1/Program/Utilities/RejectGE4.src, KRC/R1/Program/Styles/Options/style1opt1.src, KRC/R1/Program/StyleApps/Options/style1app2opt2.src</t>
        </is>
      </c>
      <c r="H20" s="3" t="inlineStr">
        <is>
          <t>• En Style1Opt1, en el camino de rechazo por nut check se ejecuta AC_Application(1,TRUE) (o lo que pone $OUT[70] do070ApplicationClear1 ON) antes de que termine el ciclo; todo camino que pasó por AC_ApplicationCheck(1) tiene su liberación.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ningún encabezado de inline form ni línea dentro de un fold de form cambia sin estar declarado (F32, F21, F31).</t>
        </is>
      </c>
      <c r="I20" s="3" t="inlineStr">
        <is>
          <t>F21</t>
        </is>
      </c>
      <c r="J20" s="3" t="inlineStr">
        <is>
          <t>Cerrado - auditado</t>
        </is>
      </c>
      <c r="K20" s="3" t="inlineStr"/>
      <c r="L20" s="3" t="inlineStr"/>
      <c r="M20" s="3" t="inlineStr"/>
      <c r="N20" s="3" t="inlineStr"/>
      <c r="O20" s="3" t="inlineStr">
        <is>
          <t>Cerrado - auditado</t>
        </is>
      </c>
      <c r="P20" s="3" t="inlineStr">
        <is>
          <t>2026-10-11</t>
        </is>
      </c>
      <c r="Q20" s="3" t="inlineStr">
        <is>
          <t>Respaldo del 10/10 (versión de oficina del 05/10 cargada + cambios suyos del 06 al 10/10). RejectGE4 libera Application 1 con TRIGGER (do070ApplicationClear1, rejectge4.src:44), también tras un rechazo por nut check; el reject no pide drop-off, igual que Gestamp.</t>
        </is>
      </c>
    </row>
    <row r="21">
      <c r="A21" s="6" t="inlineStr">
        <is>
          <t>F22</t>
        </is>
      </c>
      <c r="B21" s="7" t="inlineStr">
        <is>
          <t>Ethos</t>
        </is>
      </c>
      <c r="C21" s="12" t="inlineStr">
        <is>
          <t>Medio</t>
        </is>
      </c>
      <c r="D21" s="7" t="inlineStr">
        <is>
          <t>Movimientos del pedestal mezclan modo base y external TCP</t>
        </is>
      </c>
      <c r="E21" s="7" t="inlineStr">
        <is>
          <t>Código + prueba en celda</t>
        </is>
      </c>
      <c r="F21" s="7" t="inlineStr">
        <is>
          <t>Ethos (Edgar) / Programador robot</t>
        </is>
      </c>
      <c r="G21" s="7"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21" s="7"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ningún encabezado de inline form ni línea dentro de un fold de form cambia sin estar declarado (F32, F21, F31).</t>
        </is>
      </c>
      <c r="I21" s="7" t="inlineStr">
        <is>
          <t>C05, F32</t>
        </is>
      </c>
      <c r="J21" s="9" t="inlineStr">
        <is>
          <t>Requiere decisión</t>
        </is>
      </c>
      <c r="K21" s="9" t="inlineStr"/>
      <c r="L21" s="9" t="inlineStr"/>
      <c r="M21" s="9" t="inlineStr"/>
      <c r="N21" s="9" t="inlineStr"/>
      <c r="O21" s="10" t="inlineStr">
        <is>
          <t>Alta (Ethos)</t>
        </is>
      </c>
      <c r="P21" s="10" t="inlineStr">
        <is>
          <t>2026-10-04</t>
        </is>
      </c>
      <c r="Q21" s="10" t="inlineStr">
        <is>
          <t>Revisión Ethos del respaldo 658424 (v431_03_10_r1.zip del 2026-10-02).</t>
        </is>
      </c>
    </row>
    <row r="22">
      <c r="A22" s="6" t="inlineStr">
        <is>
          <t>F23</t>
        </is>
      </c>
      <c r="B22" s="7" t="inlineStr">
        <is>
          <t>Ethos</t>
        </is>
      </c>
      <c r="C22" s="14" t="inlineStr">
        <is>
          <t>Bajo</t>
        </is>
      </c>
      <c r="D22" s="7" t="inlineStr">
        <is>
          <t>Posición del LPT armada con 3 bytes en otro orden que en R20</t>
        </is>
      </c>
      <c r="E22" s="7" t="inlineStr">
        <is>
          <t>Confirmar en sitio</t>
        </is>
      </c>
      <c r="F22" s="7" t="inlineStr">
        <is>
          <t>Puesta en marcha / Programador robot</t>
        </is>
      </c>
      <c r="G22" s="7" t="inlineStr">
        <is>
          <t>KRC/R1/System/sps.sub, KRC/R1/System/$config.dat, KRC/R1/Program/Centerline/centerline_weld.src</t>
        </is>
      </c>
      <c r="H22" s="7"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22" s="7" t="inlineStr"/>
      <c r="J22" s="9" t="inlineStr">
        <is>
          <t>Abierto</t>
        </is>
      </c>
      <c r="K22" s="9" t="inlineStr"/>
      <c r="L22" s="9" t="inlineStr"/>
      <c r="M22" s="9" t="inlineStr"/>
      <c r="N22" s="9" t="inlineStr"/>
      <c r="O22" s="10" t="inlineStr">
        <is>
          <t>Alta (Ethos)</t>
        </is>
      </c>
      <c r="P22" s="10" t="inlineStr">
        <is>
          <t>2026-10-04</t>
        </is>
      </c>
      <c r="Q22" s="10" t="inlineStr">
        <is>
          <t>Revisión Ethos del respaldo 658424 (v431_03_10_r1.zip del 2026-10-02).</t>
        </is>
      </c>
    </row>
    <row r="23">
      <c r="A23" s="2" t="inlineStr">
        <is>
          <t>F24</t>
        </is>
      </c>
      <c r="B23" s="3" t="inlineStr">
        <is>
          <t>Calvin #27</t>
        </is>
      </c>
      <c r="C23" s="15" t="inlineStr">
        <is>
          <t>Bajo</t>
        </is>
      </c>
      <c r="D23" s="3" t="inlineStr">
        <is>
          <t>Camino de retry de soldadura muerto: NUT_WELD_RETRY nunca es TRUE</t>
        </is>
      </c>
      <c r="E23" s="3" t="inlineStr">
        <is>
          <t>Código</t>
        </is>
      </c>
      <c r="F23" s="3" t="inlineStr">
        <is>
          <t>Programador robot (prueba en celda)</t>
        </is>
      </c>
      <c r="G23" s="3" t="inlineStr">
        <is>
          <t>KRC/R1/Program/StyleApps/Options/style1app1opt1.src, KRC/R1/Program/StyleApps/Options/style1app1opt2.src, KRC/R1/Program/StyleApps/Options/style1app1opt3.src, KRC/R1/System/$config.dat</t>
        </is>
      </c>
      <c r="H23" s="3" t="inlineStr">
        <is>
          <t>• Decisión anotada: A (borrar), Ethos, 2026-10-04, por el punto 17 de Gestamp.
• En KRC/R1 no aparece NUT_WELD_RETRY ni RETRY_NUT1.
• Un ciclo completo en automático con las 3 tuercas sin errores. Anotar fecha.</t>
        </is>
      </c>
      <c r="I23" s="3" t="inlineStr">
        <is>
          <t>G17</t>
        </is>
      </c>
      <c r="J23" s="3" t="inlineStr">
        <is>
          <t>Se cierra con otro punto</t>
        </is>
      </c>
      <c r="K23" s="3" t="inlineStr"/>
      <c r="L23" s="3" t="inlineStr"/>
      <c r="M23" s="3" t="inlineStr"/>
      <c r="N23" s="3" t="inlineStr"/>
      <c r="O23" s="3" t="inlineStr">
        <is>
          <t>Cambio de base</t>
        </is>
      </c>
      <c r="P23" s="3" t="inlineStr">
        <is>
          <t>2026-10-11</t>
        </is>
      </c>
      <c r="Q23" s="3" t="inlineStr">
        <is>
          <t>Base = programa del programador (respaldo del 2026-10-05 14:46). El camino de retry sigue muerto; se resuelve en G17.</t>
        </is>
      </c>
    </row>
    <row r="24">
      <c r="A24" s="6" t="inlineStr">
        <is>
          <t>F25</t>
        </is>
      </c>
      <c r="B24" s="7" t="inlineStr">
        <is>
          <t>Calvin #19</t>
        </is>
      </c>
      <c r="C24" s="14" t="inlineStr">
        <is>
          <t>Bajo</t>
        </is>
      </c>
      <c r="D24" s="7" t="inlineStr">
        <is>
          <t>Feed de respaldo en CENTERLINE_WELD: pulso de feed de duración cero</t>
        </is>
      </c>
      <c r="E24" s="7" t="inlineStr">
        <is>
          <t>Código + prueba en celda</t>
        </is>
      </c>
      <c r="F24" s="7" t="inlineStr">
        <is>
          <t>Programador robot</t>
        </is>
      </c>
      <c r="G24" s="7" t="inlineStr">
        <is>
          <t>KRC/R1/Program/Centerline/centerline_weld.src, KRC/R1/System/$config.dat</t>
        </is>
      </c>
      <c r="H24" s="7"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ningún encabezado de inline form ni línea dentro de un fold de form cambia sin estar declarado (F32, F21, F31).</t>
        </is>
      </c>
      <c r="I24" s="7" t="inlineStr">
        <is>
          <t>F11, F14</t>
        </is>
      </c>
      <c r="J24" s="9" t="inlineStr">
        <is>
          <t>Abierto</t>
        </is>
      </c>
      <c r="K24" s="9" t="inlineStr"/>
      <c r="L24" s="9" t="inlineStr"/>
      <c r="M24" s="9" t="inlineStr"/>
      <c r="N24" s="9" t="inlineStr"/>
      <c r="O24" s="10" t="inlineStr">
        <is>
          <t>Decisión</t>
        </is>
      </c>
      <c r="P24" s="10" t="inlineStr">
        <is>
          <t>2026-10-04</t>
        </is>
      </c>
      <c r="Q24" s="10" t="inlineStr">
        <is>
          <t>Se mantiene el criterio de F25 frente a la propuesta de Calvin #19, igual que en R20 (decisión de Edgar, 2026-10-04).</t>
        </is>
      </c>
    </row>
    <row r="25">
      <c r="A25" s="6" t="inlineStr">
        <is>
          <t>F26</t>
        </is>
      </c>
      <c r="B25" s="7" t="inlineStr">
        <is>
          <t>Ethos</t>
        </is>
      </c>
      <c r="C25" s="14" t="inlineStr">
        <is>
          <t>Bajo</t>
        </is>
      </c>
      <c r="D25" s="7" t="inlineStr">
        <is>
          <t>Timers $TIMER[10..15] de PRELOAD y CENTERLINE_WELD sin constantes con nombre</t>
        </is>
      </c>
      <c r="E25" s="7" t="inlineStr">
        <is>
          <t>Código</t>
        </is>
      </c>
      <c r="F25" s="7" t="inlineStr">
        <is>
          <t>Programador robot</t>
        </is>
      </c>
      <c r="G25" s="7" t="inlineStr">
        <is>
          <t>KRC/R1/Program/Centerline/PRELOAD.src, KRC/R1/Program/Centerline/centerline_weld.src, KRC/R1/System/$config.dat</t>
        </is>
      </c>
      <c r="H25" s="7"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ningún encabezado de inline form ni línea dentro de un fold de form cambia sin estar declarado (F32, F21, F31).</t>
        </is>
      </c>
      <c r="I25" s="7" t="inlineStr"/>
      <c r="J25" s="9" t="inlineStr">
        <is>
          <t>Abierto</t>
        </is>
      </c>
      <c r="K25" s="9" t="inlineStr"/>
      <c r="L25" s="9" t="inlineStr"/>
      <c r="M25" s="9" t="inlineStr"/>
      <c r="N25" s="9" t="inlineStr"/>
      <c r="O25" s="10" t="inlineStr">
        <is>
          <t>Nota (F52)</t>
        </is>
      </c>
      <c r="P25" s="10" t="inlineStr">
        <is>
          <t>2026-10-07</t>
        </is>
      </c>
      <c r="Q25" s="10" t="inlineStr">
        <is>
          <t>PRELOAD ya no usa $TIMER[12]; la medición de tiempo ciclo usa $TIMER[20]. Dueños anotados en $config.dat.</t>
        </is>
      </c>
    </row>
    <row r="26">
      <c r="A26" s="6" t="inlineStr">
        <is>
          <t>F27</t>
        </is>
      </c>
      <c r="B26" s="7" t="inlineStr">
        <is>
          <t>Ethos</t>
        </is>
      </c>
      <c r="C26" s="14" t="inlineStr">
        <is>
          <t>Bajo</t>
        </is>
      </c>
      <c r="D26" s="7" t="inlineStr">
        <is>
          <t>Confirmar en celda funciones de comentarios corregidos: blow-off, pines, programa Bosch</t>
        </is>
      </c>
      <c r="E26" s="7" t="inlineStr">
        <is>
          <t>Confirmar en sitio</t>
        </is>
      </c>
      <c r="F26" s="7" t="inlineStr">
        <is>
          <t>Puesta en marcha / Gestamp controles</t>
        </is>
      </c>
      <c r="G26" s="7" t="inlineStr">
        <is>
          <t>KRC/R1/Program/Centerline/centerline_weld.src, KRC/R1/Program/Centerline/PRELOAD.src</t>
        </is>
      </c>
      <c r="H26" s="7"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26" s="7" t="inlineStr"/>
      <c r="J26" s="9" t="inlineStr">
        <is>
          <t>Abierto</t>
        </is>
      </c>
      <c r="K26" s="9" t="inlineStr"/>
      <c r="L26" s="9" t="inlineStr"/>
      <c r="M26" s="9" t="inlineStr"/>
      <c r="N26" s="9" t="inlineStr"/>
      <c r="O26" s="10" t="inlineStr">
        <is>
          <t>Alta (Ethos)</t>
        </is>
      </c>
      <c r="P26" s="10" t="inlineStr">
        <is>
          <t>2026-10-04</t>
        </is>
      </c>
      <c r="Q26" s="10" t="inlineStr">
        <is>
          <t>Revisión Ethos del respaldo 658424 (v431_03_10_r1.zip del 2026-10-02).</t>
        </is>
      </c>
    </row>
    <row r="27">
      <c r="A27" s="2" t="inlineStr">
        <is>
          <t>F28</t>
        </is>
      </c>
      <c r="B27" s="3" t="inlineStr">
        <is>
          <t>Ethos</t>
        </is>
      </c>
      <c r="C27" s="15" t="inlineStr">
        <is>
          <t>Bajo</t>
        </is>
      </c>
      <c r="D27" s="3" t="inlineStr">
        <is>
          <t>Sensor de tuerca leído al llegar al punto; el dwell iba después de la lectura</t>
        </is>
      </c>
      <c r="E27" s="3" t="inlineStr">
        <is>
          <t>Código + prueba en celda</t>
        </is>
      </c>
      <c r="F27" s="3" t="inlineStr">
        <is>
          <t>Programador robot (prueba en celda)</t>
        </is>
      </c>
      <c r="G27" s="3" t="inlineStr">
        <is>
          <t>KRC/R1/Program/StyleApps/Options/style1app2opt1.src</t>
        </is>
      </c>
      <c r="H27" s="3" t="inlineStr">
        <is>
          <t>• En style1app2opt1, en los tres bloques NUT CHECK, PARTPRESENTn se asigna después de WAIT SEC 0.2.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27" s="3" t="inlineStr">
        <is>
          <t>G13</t>
        </is>
      </c>
      <c r="J27" s="3" t="inlineStr">
        <is>
          <t>Se cierra con otro punto</t>
        </is>
      </c>
      <c r="K27" s="3" t="inlineStr"/>
      <c r="L27" s="3" t="inlineStr"/>
      <c r="M27" s="3" t="inlineStr"/>
      <c r="N27" s="3" t="inlineStr"/>
      <c r="O27" s="3" t="inlineStr">
        <is>
          <t>Cambio de base</t>
        </is>
      </c>
      <c r="P27" s="3" t="inlineStr">
        <is>
          <t>2026-10-11</t>
        </is>
      </c>
      <c r="Q27" s="3" t="inlineStr">
        <is>
          <t>Base = programa del programador (respaldo del 2026-10-05 14:46). El WAIT SEC 0.2 sigue después de leer $IN[227]; se resuelve en G13.</t>
        </is>
      </c>
    </row>
    <row r="28">
      <c r="A28" s="6" t="inlineStr">
        <is>
          <t>F29</t>
        </is>
      </c>
      <c r="B28" s="7" t="inlineStr">
        <is>
          <t>Ethos</t>
        </is>
      </c>
      <c r="C28" s="14" t="inlineStr">
        <is>
          <t>Bajo</t>
        </is>
      </c>
      <c r="D28" s="7" t="inlineStr">
        <is>
          <t>Faro KL50L2: lógica muerta y un bit sin mapear</t>
        </is>
      </c>
      <c r="E28" s="7" t="inlineStr">
        <is>
          <t>Código + prueba en celda</t>
        </is>
      </c>
      <c r="F28" s="7" t="inlineStr">
        <is>
          <t>Programador robot / Puesta en marcha</t>
        </is>
      </c>
      <c r="G28" s="7" t="inlineStr">
        <is>
          <t>KRC/R1/System/sps.sub, KRC/R1/System/$config.dat, C/KRC/Roboter/Config/User/Common/KRC_IO.xml</t>
        </is>
      </c>
      <c r="H28" s="7"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ningún encabezado de inline form ni línea dentro de un fold de form cambia sin estar declarado (F32, F21, F31).</t>
        </is>
      </c>
      <c r="I28" s="7" t="inlineStr"/>
      <c r="J28" s="9" t="inlineStr">
        <is>
          <t>Abierto</t>
        </is>
      </c>
      <c r="K28" s="9" t="inlineStr"/>
      <c r="L28" s="9" t="inlineStr"/>
      <c r="M28" s="9" t="inlineStr"/>
      <c r="N28" s="9" t="inlineStr"/>
      <c r="O28" s="10" t="inlineStr">
        <is>
          <t>Nota</t>
        </is>
      </c>
      <c r="P28" s="10" t="inlineStr">
        <is>
          <t>2026-10-12</t>
        </is>
      </c>
      <c r="Q28" s="10" t="inlineStr">
        <is>
          <t>Respaldo del 11/10 22:32. $OUT[477]/$OUT[478] los escribe NutWeld_Bkg: verde con tolva OK y sin falla de soldadura, rojo con tolva baja, CL_WeldFault o falla del Bosch (edición del archivo de KUKA, C28).</t>
        </is>
      </c>
    </row>
    <row r="29">
      <c r="A29" s="6" t="inlineStr">
        <is>
          <t>F30</t>
        </is>
      </c>
      <c r="B29" s="7" t="inlineStr">
        <is>
          <t>Ethos</t>
        </is>
      </c>
      <c r="C29" s="14" t="inlineStr">
        <is>
          <t>Bajo</t>
        </is>
      </c>
      <c r="D29" s="7" t="inlineStr">
        <is>
          <t>Style1Opt1 sin GOTO: un camino IF/ELSE por ciclo</t>
        </is>
      </c>
      <c r="E29" s="7" t="inlineStr">
        <is>
          <t>Código + prueba en celda</t>
        </is>
      </c>
      <c r="F29" s="7" t="inlineStr">
        <is>
          <t>Programador robot (prueba en celda)</t>
        </is>
      </c>
      <c r="G29" s="7" t="inlineStr">
        <is>
          <t>KRC/R1/Program/Styles/Options/style1opt1.src</t>
        </is>
      </c>
      <c r="H29" s="7" t="inlineStr">
        <is>
          <t>• En style1opt1.src no hay GOTO ni etiquetas y se conservan las tres propiedades: (1) después de RejectGE4() no corren ni la cámara ni el drop; (2) un ciclo de estación 1 no corre la estación 2; (3) todos los caminos pasan por el borrado de PARTPRESENT1..3.
• Prueba en celda: un ciclo bueno de estación 1, uno de estación 2, un rechazo por nut check y uno por cámara (si se puede provocar). Anotar fecha y resultado.</t>
        </is>
      </c>
      <c r="I29" s="7" t="inlineStr"/>
      <c r="J29" s="9" t="inlineStr">
        <is>
          <t>En proceso</t>
        </is>
      </c>
      <c r="K29" s="9" t="inlineStr"/>
      <c r="L29" s="9" t="inlineStr"/>
      <c r="M29" s="9" t="inlineStr"/>
      <c r="N29" s="9" t="inlineStr"/>
      <c r="O29" s="10" t="inlineStr">
        <is>
          <t>Cambio de base</t>
        </is>
      </c>
      <c r="P29" s="10" t="inlineStr">
        <is>
          <t>2026-10-11</t>
        </is>
      </c>
      <c r="Q29" s="10" t="inlineStr">
        <is>
          <t>Base = programa del programador (respaldo del 2026-10-05 14:46). Style1Opt1 (Styles/optiones/style1opt1.src) no tiene GOTO y cumple en código las tres propiedades: después de RejectGE4() no corre nada más, la estación 1 no corre la 2 y todos los caminos borran PARTPRESENT1..3. Falta la prueba en celda.</t>
        </is>
      </c>
    </row>
    <row r="30">
      <c r="A30" s="2" t="inlineStr">
        <is>
          <t>F32</t>
        </is>
      </c>
      <c r="B30" s="3" t="inlineStr">
        <is>
          <t>Calvin #28</t>
        </is>
      </c>
      <c r="C30" s="13" t="inlineStr">
        <is>
          <t>Medio</t>
        </is>
      </c>
      <c r="D30" s="3" t="inlineStr">
        <is>
          <t>TRIGGERs y resets escritos a mano dentro de folds de inline form</t>
        </is>
      </c>
      <c r="E30" s="3" t="inlineStr">
        <is>
          <t>Código + prueba en celda</t>
        </is>
      </c>
      <c r="F30" s="3" t="inlineStr">
        <is>
          <t>Programador robot (prueba en celda)</t>
        </is>
      </c>
      <c r="G30" s="3"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30" s="3"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Prueba en T1 o en automático con override reducido, fuera de dry cycle: en un ciclo completo NUT_READY y NEXT_NUT_READY pasan a FALSE y vuelven a TRUE una vez por tuerca (3 preloads por pieza). Un ciclo red rabbit deja $OUT[141], $OUT[142] y PARTPRESENT1..3 en FALSE. Anotar fecha.</t>
        </is>
      </c>
      <c r="I30" s="3" t="inlineStr">
        <is>
          <t>G20</t>
        </is>
      </c>
      <c r="J30" s="3" t="inlineStr">
        <is>
          <t>Se cierra con otro punto</t>
        </is>
      </c>
      <c r="K30" s="3" t="inlineStr"/>
      <c r="L30" s="3" t="inlineStr"/>
      <c r="M30" s="3" t="inlineStr"/>
      <c r="N30" s="3" t="inlineStr"/>
      <c r="O30" s="3" t="inlineStr">
        <is>
          <t>Cambio de base</t>
        </is>
      </c>
      <c r="P30" s="3" t="inlineStr">
        <is>
          <t>2026-10-11</t>
        </is>
      </c>
      <c r="Q30" s="3" t="inlineStr">
        <is>
          <t>Base = programa del programador (respaldo del 2026-10-05 14:46). Mismas líneas escritas a mano dentro de folds que G20.</t>
        </is>
      </c>
    </row>
    <row r="31">
      <c r="A31" s="6" t="inlineStr">
        <is>
          <t>F33</t>
        </is>
      </c>
      <c r="B31" s="7" t="inlineStr">
        <is>
          <t>Ethos</t>
        </is>
      </c>
      <c r="C31" s="12" t="inlineStr">
        <is>
          <t>Medio</t>
        </is>
      </c>
      <c r="D31" s="7" t="inlineStr">
        <is>
          <t>GripperConfig.xml del HMI desincronizado con grp_data.dat</t>
        </is>
      </c>
      <c r="E31" s="7" t="inlineStr">
        <is>
          <t>WorkVisual / configuración</t>
        </is>
      </c>
      <c r="F31" s="7" t="inlineStr">
        <is>
          <t>Programador robot</t>
        </is>
      </c>
      <c r="G31" s="7" t="inlineStr">
        <is>
          <t>C/KRC/User/TP/Gripper_SpotTech/GripperConfig.xml, KRC/R1/TP/GripperSpotTech/grp_data.dat</t>
        </is>
      </c>
      <c r="H31" s="7"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31" s="7" t="inlineStr">
        <is>
          <t>F31</t>
        </is>
      </c>
      <c r="J31" s="9" t="inlineStr">
        <is>
          <t>Abierto</t>
        </is>
      </c>
      <c r="K31" s="9" t="inlineStr"/>
      <c r="L31" s="9" t="inlineStr"/>
      <c r="M31" s="9" t="inlineStr"/>
      <c r="N31" s="9" t="inlineStr"/>
      <c r="O31" s="10" t="inlineStr">
        <is>
          <t>Alta (Ethos)</t>
        </is>
      </c>
      <c r="P31" s="10" t="inlineStr">
        <is>
          <t>2026-10-04</t>
        </is>
      </c>
      <c r="Q31" s="10" t="inlineStr">
        <is>
          <t>Revisión Ethos del respaldo 658424 (v431_03_10_r1.zip del 2026-10-02).</t>
        </is>
      </c>
    </row>
    <row r="32">
      <c r="A32" s="6" t="inlineStr">
        <is>
          <t>F34</t>
        </is>
      </c>
      <c r="B32" s="7" t="inlineStr">
        <is>
          <t>Ethos</t>
        </is>
      </c>
      <c r="C32" s="14" t="inlineStr">
        <is>
          <t>Bajo</t>
        </is>
      </c>
      <c r="D32" s="7" t="inlineStr">
        <is>
          <t>CENTERLINE_HOME: polaridad de $OUT[473] y falta el reset del Bosch</t>
        </is>
      </c>
      <c r="E32" s="7" t="inlineStr">
        <is>
          <t>Código + prueba en celda</t>
        </is>
      </c>
      <c r="F32" s="7" t="inlineStr">
        <is>
          <t>Programador robot / Puesta en marcha</t>
        </is>
      </c>
      <c r="G32" s="7" t="inlineStr">
        <is>
          <t>KRC/R1/Program/Centerline/CENTERLINE_HOME.src, KRC/R1/Program/Centerline/centerline_weld.src</t>
        </is>
      </c>
      <c r="H32" s="7"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ningún encabezado de inline form ni línea dentro de un fold de form cambia sin estar declarado (F32, F21, F31).</t>
        </is>
      </c>
      <c r="I32" s="7" t="inlineStr"/>
      <c r="J32" s="9" t="inlineStr">
        <is>
          <t>Requiere decisión</t>
        </is>
      </c>
      <c r="K32" s="9" t="inlineStr"/>
      <c r="L32" s="9" t="inlineStr"/>
      <c r="M32" s="9" t="inlineStr"/>
      <c r="N32" s="9" t="inlineStr"/>
      <c r="O32" s="10" t="inlineStr">
        <is>
          <t>Alta (Ethos)</t>
        </is>
      </c>
      <c r="P32" s="10" t="inlineStr">
        <is>
          <t>2026-10-04</t>
        </is>
      </c>
      <c r="Q32" s="10" t="inlineStr">
        <is>
          <t>Revisión Ethos del respaldo 658424 (v431_03_10_r1.zip del 2026-10-02).</t>
        </is>
      </c>
    </row>
    <row r="33">
      <c r="A33" s="6" t="inlineStr">
        <is>
          <t>F35</t>
        </is>
      </c>
      <c r="B33" s="7" t="inlineStr">
        <is>
          <t>Ethos</t>
        </is>
      </c>
      <c r="C33" s="12" t="inlineStr">
        <is>
          <t>Medio</t>
        </is>
      </c>
      <c r="D33" s="7" t="inlineStr">
        <is>
          <t>El mastering reference deja $OUT[930] en ON para siempre</t>
        </is>
      </c>
      <c r="E33" s="7" t="inlineStr">
        <is>
          <t>Código + prueba en celda</t>
        </is>
      </c>
      <c r="F33" s="7" t="inlineStr">
        <is>
          <t>Programador robot</t>
        </is>
      </c>
      <c r="G33" s="7" t="inlineStr">
        <is>
          <t>KRC/R1/Program/masref_user.src, KRC/R1/System/masref_main.src</t>
        </is>
      </c>
      <c r="H33" s="7"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Comentarios del código cambiado según docs/CONVENTIONS.md (inglés, señal con dirección y nombre); ningún encabezado de inline form ni línea dentro de un fold de form cambia sin estar declarado (F32, F21, F31).</t>
        </is>
      </c>
      <c r="I33" s="7" t="inlineStr">
        <is>
          <t>F18</t>
        </is>
      </c>
      <c r="J33" s="9" t="inlineStr">
        <is>
          <t>Abierto</t>
        </is>
      </c>
      <c r="K33" s="9" t="inlineStr"/>
      <c r="L33" s="9" t="inlineStr"/>
      <c r="M33" s="9" t="inlineStr"/>
      <c r="N33" s="9" t="inlineStr"/>
      <c r="O33" s="10" t="inlineStr">
        <is>
          <t>Nota</t>
        </is>
      </c>
      <c r="P33" s="10" t="inlineStr">
        <is>
          <t>2026-10-11</t>
        </is>
      </c>
      <c r="Q33" s="10" t="inlineStr">
        <is>
          <t>Respaldo del 10/10 (versión de oficina del 05/10 cargada + cambios suyos del 06 al 10/10). XREFSWITCH (switch de referencia) re-enseñado ~1 mm.</t>
        </is>
      </c>
    </row>
    <row r="34">
      <c r="A34" s="2" t="inlineStr">
        <is>
          <t>F36</t>
        </is>
      </c>
      <c r="B34" s="3" t="inlineStr">
        <is>
          <t>Ethos</t>
        </is>
      </c>
      <c r="C34" s="15" t="inlineStr">
        <is>
          <t>Bajo</t>
        </is>
      </c>
      <c r="D34" s="3" t="inlineStr">
        <is>
          <t>$IN[227] declarado con dos nombres (NUT_PRESENT1, di227SensorCamera)</t>
        </is>
      </c>
      <c r="E34" s="3" t="inlineStr">
        <is>
          <t>Código</t>
        </is>
      </c>
      <c r="F34" s="3" t="inlineStr">
        <is>
          <t>Programador robot (prueba en celda)</t>
        </is>
      </c>
      <c r="G34" s="3" t="inlineStr">
        <is>
          <t>KRC/R1/System/$config.dat, KRC/R1/TP/AutomationCore/automationcoreroutines.dat, KRC/R1/Program/StyleApps/Options/style1app2opt1.src, KRC/R1/Program/Styles/Options/style1opt1.src, KRC/R1/Program/Styles/Options/Style1Opt10AutoRR.src</t>
        </is>
      </c>
      <c r="H34" s="3"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El programa carga sin errores de compilación (captura del navegador del smartPAD sin módulos en rojo). Un ciclo con option 1 lee las 3 tuercas (PARTPRESENT1..3 en TRUE en el display de variables). Anotar fecha.</t>
        </is>
      </c>
      <c r="I34" s="3" t="inlineStr">
        <is>
          <t>C28</t>
        </is>
      </c>
      <c r="J34" s="3" t="inlineStr">
        <is>
          <t>Cerrado - auditado</t>
        </is>
      </c>
      <c r="K34" s="3" t="inlineStr"/>
      <c r="L34" s="3" t="inlineStr"/>
      <c r="M34" s="3" t="inlineStr"/>
      <c r="N34" s="3" t="inlineStr"/>
      <c r="O34" s="3" t="inlineStr">
        <is>
          <t>Cerrado - auditado</t>
        </is>
      </c>
      <c r="P34" s="3" t="inlineStr">
        <is>
          <t>2026-10-11</t>
        </is>
      </c>
      <c r="Q34" s="3" t="inlineStr">
        <is>
          <t>Respaldo del 10/10 (versión de oficina del 05/10 cargada + cambios suyos del 06 al 10/10). $IN[227] tiene una sola declaración: di227NutPresent1.</t>
        </is>
      </c>
    </row>
    <row r="35">
      <c r="A35" s="2" t="inlineStr">
        <is>
          <t>F37</t>
        </is>
      </c>
      <c r="B35" s="3" t="inlineStr">
        <is>
          <t>Calvin #1</t>
        </is>
      </c>
      <c r="C35" s="16" t="inlineStr">
        <is>
          <t>-</t>
        </is>
      </c>
      <c r="D35" s="3" t="inlineStr">
        <is>
          <t>Presión de intensificado no confirmada antes de weld start: no aplica en R10</t>
        </is>
      </c>
      <c r="E35" s="3" t="inlineStr">
        <is>
          <t>Sin acción</t>
        </is>
      </c>
      <c r="F35" s="3" t="inlineStr">
        <is>
          <t>Programador robot</t>
        </is>
      </c>
      <c r="G35" s="3" t="inlineStr">
        <is>
          <t>KRC/R1/Program/Centerline/centerline_weld.src</t>
        </is>
      </c>
      <c r="H35" s="3" t="inlineStr">
        <is>
          <t>• Se reabre si la espera de $IN[479] dipw1_IntensfPresOk de CENTERLINE_WELD se desactiva o se quita.</t>
        </is>
      </c>
      <c r="I35" s="3" t="inlineStr">
        <is>
          <t>F15, F44</t>
        </is>
      </c>
      <c r="J35" s="3" t="inlineStr">
        <is>
          <t>No aplica</t>
        </is>
      </c>
      <c r="K35" s="3" t="inlineStr"/>
      <c r="L35" s="3" t="inlineStr"/>
      <c r="M35" s="3" t="inlineStr"/>
      <c r="N35" s="3" t="inlineStr"/>
      <c r="O35" s="3" t="inlineStr">
        <is>
          <t>Alta (Calvin)</t>
        </is>
      </c>
      <c r="P35" s="3" t="inlineStr">
        <is>
          <t>2026-10-04</t>
        </is>
      </c>
      <c r="Q35" s="3" t="inlineStr">
        <is>
          <t>Revisión Ethos del respaldo 658424: el punto 1 de Calvin (20R1) no aplica en R10.</t>
        </is>
      </c>
    </row>
    <row r="36">
      <c r="A36" s="6" t="inlineStr">
        <is>
          <t>F39</t>
        </is>
      </c>
      <c r="B36" s="7" t="inlineStr">
        <is>
          <t>Calvin #16</t>
        </is>
      </c>
      <c r="C36" s="12" t="inlineStr">
        <is>
          <t>Medio</t>
        </is>
      </c>
      <c r="D36" s="7" t="inlineStr">
        <is>
          <t>Supervisión de par en cero; chequeo de datos de carga solo avisa; carga tecleada</t>
        </is>
      </c>
      <c r="E36" s="7" t="inlineStr">
        <is>
          <t>Configuración + prueba en celda</t>
        </is>
      </c>
      <c r="F36" s="7" t="inlineStr">
        <is>
          <t>Programador robot / Puesta en marcha</t>
        </is>
      </c>
      <c r="G36" s="7" t="inlineStr">
        <is>
          <t>KRC/STEU/Mada/$custom.dat, KRC/R1/System/$config.dat, KRC/R1/System/bas.src</t>
        </is>
      </c>
      <c r="H36" s="7"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36" s="7" t="inlineStr">
        <is>
          <t>G03, C08, C09</t>
        </is>
      </c>
      <c r="J36" s="9" t="inlineStr">
        <is>
          <t>Abierto</t>
        </is>
      </c>
      <c r="K36" s="9" t="inlineStr"/>
      <c r="L36" s="9" t="inlineStr"/>
      <c r="M36" s="9" t="inlineStr"/>
      <c r="N36" s="9" t="inlineStr"/>
      <c r="O36" s="10" t="inlineStr">
        <is>
          <t>Alta (Calvin)</t>
        </is>
      </c>
      <c r="P36" s="10" t="inlineStr">
        <is>
          <t>2026-10-04</t>
        </is>
      </c>
      <c r="Q36" s="10" t="inlineStr">
        <is>
          <t>Revisión Ethos del respaldo 658424; el punto sale de la lista de Calvin (Calvin #16).</t>
        </is>
      </c>
    </row>
    <row r="37">
      <c r="A37" s="6" t="inlineStr">
        <is>
          <t>F40</t>
        </is>
      </c>
      <c r="B37" s="7" t="inlineStr">
        <is>
          <t>Calvin #25</t>
        </is>
      </c>
      <c r="C37" s="12" t="inlineStr">
        <is>
          <t>Medio</t>
        </is>
      </c>
      <c r="D37" s="7" t="inlineStr">
        <is>
          <t>Drops y reject abren el gripper sin confirmar pieza; el drop red rabbit se mueve antes de gripper vacío</t>
        </is>
      </c>
      <c r="E37" s="7" t="inlineStr">
        <is>
          <t>Código + prueba en celda</t>
        </is>
      </c>
      <c r="F37" s="7" t="inlineStr">
        <is>
          <t>Programador robot</t>
        </is>
      </c>
      <c r="G37" s="7" t="inlineStr">
        <is>
          <t>KRC/R1/Program/StyleDrops/Options/style1drop1opt1.src, KRC/R1/Program/StyleDrops/Options/style1drop1opt2AutoRR.src, KRC/R1/Program/Utilities/RejectGE4.src</t>
        </is>
      </c>
      <c r="H37" s="7"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ningún encabezado de inline form ni línea dentro de un fold de form cambia sin estar declarado (F32, F21, F31).</t>
        </is>
      </c>
      <c r="I37" s="7" t="inlineStr">
        <is>
          <t>G14, G10, F31, F19</t>
        </is>
      </c>
      <c r="J37" s="9" t="inlineStr">
        <is>
          <t>Abierto</t>
        </is>
      </c>
      <c r="K37" s="9" t="inlineStr"/>
      <c r="L37" s="9" t="inlineStr"/>
      <c r="M37" s="9" t="inlineStr"/>
      <c r="N37" s="9" t="inlineStr"/>
      <c r="O37" s="10" t="inlineStr">
        <is>
          <t>Alta (Calvin)</t>
        </is>
      </c>
      <c r="P37" s="10" t="inlineStr">
        <is>
          <t>2026-10-04</t>
        </is>
      </c>
      <c r="Q37" s="10" t="inlineStr">
        <is>
          <t>Revisión Ethos del respaldo 658424; el punto sale de la lista de Calvin (Calvin #25).</t>
        </is>
      </c>
    </row>
    <row r="38">
      <c r="A38" s="6" t="inlineStr">
        <is>
          <t>F41</t>
        </is>
      </c>
      <c r="B38" s="7" t="inlineStr">
        <is>
          <t>Calvin Std 5</t>
        </is>
      </c>
      <c r="C38" s="14" t="inlineStr">
        <is>
          <t>Bajo</t>
        </is>
      </c>
      <c r="D38" s="7" t="inlineStr">
        <is>
          <t>Tiempos de PRELOAD, límite de flujo de agua y esperas fijas sin constantes</t>
        </is>
      </c>
      <c r="E38" s="7" t="inlineStr">
        <is>
          <t>Código</t>
        </is>
      </c>
      <c r="F38" s="7" t="inlineStr">
        <is>
          <t>Programador robot</t>
        </is>
      </c>
      <c r="G38" s="7" t="inlineStr">
        <is>
          <t>KRC/R1/Program/Centerline/PRELOAD.src, KRC/R1/System/sps.sub, KRC/R1/Program/Centerline/CENTERLINE_HOME.src, KRC/R1/Program/Centerline/centerline_weld.src, KRC/R1/System/$config.dat</t>
        </is>
      </c>
      <c r="H38" s="7"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ningún encabezado de inline form ni línea dentro de un fold de form cambia sin estar declarado (F32, F21, F31).</t>
        </is>
      </c>
      <c r="I38" s="7" t="inlineStr">
        <is>
          <t>G16, F26, F09</t>
        </is>
      </c>
      <c r="J38" s="9" t="inlineStr">
        <is>
          <t>Abierto</t>
        </is>
      </c>
      <c r="K38" s="9" t="inlineStr"/>
      <c r="L38" s="9" t="inlineStr"/>
      <c r="M38" s="9" t="inlineStr"/>
      <c r="N38" s="9" t="inlineStr"/>
      <c r="O38" s="10" t="inlineStr">
        <is>
          <t>Alta (Calvin)</t>
        </is>
      </c>
      <c r="P38" s="10" t="inlineStr">
        <is>
          <t>2026-10-04</t>
        </is>
      </c>
      <c r="Q38" s="10" t="inlineStr">
        <is>
          <t>Revisión Ethos del respaldo 658424; el punto sale de la lista de Calvin (Calvin Std 5).</t>
        </is>
      </c>
    </row>
    <row r="39">
      <c r="A39" s="6" t="inlineStr">
        <is>
          <t>F42</t>
        </is>
      </c>
      <c r="B39" s="7" t="inlineStr">
        <is>
          <t>Calvin #30</t>
        </is>
      </c>
      <c r="C39" s="14" t="inlineStr">
        <is>
          <t>Bajo</t>
        </is>
      </c>
      <c r="D39" s="7" t="inlineStr">
        <is>
          <t>Envolventes de trabajo por software apagadas</t>
        </is>
      </c>
      <c r="E39" s="7" t="inlineStr">
        <is>
          <t>Configuración / decisión</t>
        </is>
      </c>
      <c r="F39" s="7" t="inlineStr">
        <is>
          <t>Programador robot / Seguridad / Gestamp</t>
        </is>
      </c>
      <c r="G39" s="7" t="inlineStr">
        <is>
          <t>KRC/R1/Mada/$machine.dat, KRC/STEU/Mada/$custom.dat, C/KRC/Roboter/Config/User/Common/SafetyConfigData.xml</t>
        </is>
      </c>
      <c r="H39" s="7"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39" s="7" t="inlineStr">
        <is>
          <t>G02</t>
        </is>
      </c>
      <c r="J39" s="9" t="inlineStr">
        <is>
          <t>Requiere decisión</t>
        </is>
      </c>
      <c r="K39" s="9" t="inlineStr"/>
      <c r="L39" s="9" t="inlineStr"/>
      <c r="M39" s="9" t="inlineStr"/>
      <c r="N39" s="9" t="inlineStr"/>
      <c r="O39" s="10" t="inlineStr">
        <is>
          <t>Alta (Calvin)</t>
        </is>
      </c>
      <c r="P39" s="10" t="inlineStr">
        <is>
          <t>2026-10-04</t>
        </is>
      </c>
      <c r="Q39" s="10" t="inlineStr">
        <is>
          <t>Revisión Ethos del respaldo 658424; el punto sale de la lista de Calvin (Calvin #30).</t>
        </is>
      </c>
    </row>
    <row r="40">
      <c r="A40" s="6" t="inlineStr">
        <is>
          <t>F44</t>
        </is>
      </c>
      <c r="B40" s="7" t="inlineStr">
        <is>
          <t>Ethos</t>
        </is>
      </c>
      <c r="C40" s="8" t="inlineStr">
        <is>
          <t>Alto</t>
        </is>
      </c>
      <c r="D40" s="7" t="inlineStr">
        <is>
          <t>Palabra de presión del gun escrita en dos órdenes de bytes (405/1820 contra 39425)</t>
        </is>
      </c>
      <c r="E40" s="7" t="inlineStr">
        <is>
          <t>Código + prueba en celda</t>
        </is>
      </c>
      <c r="F40" s="7" t="inlineStr">
        <is>
          <t>Puesta en marcha / Programador robot</t>
        </is>
      </c>
      <c r="G40" s="7" t="inlineStr">
        <is>
          <t>KRC/R1/System/$config.dat, KRC/R1/Program/Centerline/centerline_weld.src, C/KRC/Roboter/Config/User/Common/KRC_IO.xml</t>
        </is>
      </c>
      <c r="H40" s="7"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ningún encabezado de inline form ni línea dentro de un fold de form cambia sin estar declarado (F32, F21, F31).</t>
        </is>
      </c>
      <c r="I40" s="7" t="inlineStr">
        <is>
          <t>G16</t>
        </is>
      </c>
      <c r="J40" s="9" t="inlineStr">
        <is>
          <t>Abierto</t>
        </is>
      </c>
      <c r="K40" s="9" t="inlineStr"/>
      <c r="L40" s="9" t="inlineStr"/>
      <c r="M40" s="9" t="inlineStr"/>
      <c r="N40" s="9" t="inlineStr"/>
      <c r="O40" s="10" t="inlineStr">
        <is>
          <t>Alta (Ethos)</t>
        </is>
      </c>
      <c r="P40" s="10" t="inlineStr">
        <is>
          <t>2026-10-04</t>
        </is>
      </c>
      <c r="Q40" s="10" t="inlineStr">
        <is>
          <t>Revisión Ethos del respaldo 658424 (v431_03_10_r1.zip del 2026-10-02).</t>
        </is>
      </c>
    </row>
    <row r="41">
      <c r="A41" s="2" t="inlineStr">
        <is>
          <t>F45</t>
        </is>
      </c>
      <c r="B41" s="3" t="inlineStr">
        <is>
          <t>Calvin #23</t>
        </is>
      </c>
      <c r="C41" s="15" t="inlineStr">
        <is>
          <t>Bajo</t>
        </is>
      </c>
      <c r="D41" s="3" t="inlineStr">
        <is>
          <t>Rutinas de clamps: grippers 2-4 deshabilitados, solo existe el gripper 1</t>
        </is>
      </c>
      <c r="E41" s="3" t="inlineStr">
        <is>
          <t>Sin acción</t>
        </is>
      </c>
      <c r="F41" s="3" t="inlineStr">
        <is>
          <t>Programador robot</t>
        </is>
      </c>
      <c r="G41" s="3" t="inlineStr">
        <is>
          <t>KRC/R1/Program/Utilities/closeandcheckallclamps.src, KRC/R1/Program/Utilities/openandcheckallclamps.src, KRC/R1/TP/GripperSpotTech/grp_data.dat</t>
        </is>
      </c>
      <c r="H41" s="3" t="inlineStr">
        <is>
          <t>• Las rutinas siguen manejando solo el gripper 1 y su comentario lo dice (verificación de regresión en cada respaldo).
• Se reabre si el EOAT de R10 recibe un gripper 2-4 con función real.</t>
        </is>
      </c>
      <c r="I41" s="3" t="inlineStr"/>
      <c r="J41" s="3" t="inlineStr">
        <is>
          <t>Cerrado - depuración</t>
        </is>
      </c>
      <c r="K41" s="3" t="inlineStr"/>
      <c r="L41" s="3" t="inlineStr"/>
      <c r="M41" s="3" t="inlineStr"/>
      <c r="N41" s="3" t="inlineStr"/>
      <c r="O41" s="3" t="inlineStr">
        <is>
          <t>Alta (Calvin)</t>
        </is>
      </c>
      <c r="P41" s="3" t="inlineStr">
        <is>
          <t>2026-10-04</t>
        </is>
      </c>
      <c r="Q41" s="3" t="inlineStr">
        <is>
          <t>Revisión Ethos del respaldo 658424; el punto sale de la lista de Calvin (Calvin #23).</t>
        </is>
      </c>
    </row>
    <row r="42">
      <c r="A42" s="6" t="inlineStr">
        <is>
          <t>F46</t>
        </is>
      </c>
      <c r="B42" s="7" t="inlineStr">
        <is>
          <t>Ethos</t>
        </is>
      </c>
      <c r="C42" s="12" t="inlineStr">
        <is>
          <t>Medio</t>
        </is>
      </c>
      <c r="D42" s="7" t="inlineStr">
        <is>
          <t>EndOfCycle del proveedor editado: Work Complete nunca se manda al PLC</t>
        </is>
      </c>
      <c r="E42" s="7" t="inlineStr">
        <is>
          <t>Decisión Gestamp</t>
        </is>
      </c>
      <c r="F42" s="7" t="inlineStr">
        <is>
          <t>Gestamp controles / Ethos (Edgar)</t>
        </is>
      </c>
      <c r="G42" s="7" t="inlineStr">
        <is>
          <t>KRC/R1/TP/AutomationCore/automationcoreroutines.src, KRC/R1/cell.src</t>
        </is>
      </c>
      <c r="H42" s="7"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42" s="7" t="inlineStr">
        <is>
          <t>C28</t>
        </is>
      </c>
      <c r="J42" s="9" t="inlineStr">
        <is>
          <t>Abierto</t>
        </is>
      </c>
      <c r="K42" s="9" t="inlineStr"/>
      <c r="L42" s="9" t="inlineStr"/>
      <c r="M42" s="9" t="inlineStr"/>
      <c r="N42" s="9" t="inlineStr"/>
      <c r="O42" s="10" t="inlineStr">
        <is>
          <t>Sin cambio</t>
        </is>
      </c>
      <c r="P42" s="10" t="inlineStr">
        <is>
          <t>2026-10-11</t>
        </is>
      </c>
      <c r="Q42" s="10" t="inlineStr">
        <is>
          <t>Respaldo del 10/10 (versión de oficina del 05/10 cargada + cambios suyos del 06 al 10/10). El EndOfCycle sigue con Work Complete comentado (automationcoreroutines.src:381-389).</t>
        </is>
      </c>
    </row>
    <row r="43">
      <c r="A43" s="6" t="inlineStr">
        <is>
          <t>F47</t>
        </is>
      </c>
      <c r="B43" s="7" t="inlineStr">
        <is>
          <t>Ethos</t>
        </is>
      </c>
      <c r="C43" s="12" t="inlineStr">
        <is>
          <t>Medio</t>
        </is>
      </c>
      <c r="D43" s="7" t="inlineStr">
        <is>
          <t>Camino del brake test enseñado con tool 3 / base 1 de otro robot</t>
        </is>
      </c>
      <c r="E43" s="7" t="inlineStr">
        <is>
          <t>Código + prueba en celda</t>
        </is>
      </c>
      <c r="F43" s="7" t="inlineStr">
        <is>
          <t>Programador robot / Puesta en marcha</t>
        </is>
      </c>
      <c r="G43" s="7" t="inlineStr">
        <is>
          <t>KRC/R1/TP/BrakeTest/braketeststart.src, KRC/R1/TP/BrakeTest/braketestback.src, KRC/R1/System/$config.dat</t>
        </is>
      </c>
      <c r="H43" s="7"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ningún encabezado de inline form ni línea dentro de un fold de form cambia sin estar declarado (F32, F21, F31).</t>
        </is>
      </c>
      <c r="I43" s="7" t="inlineStr">
        <is>
          <t>C28</t>
        </is>
      </c>
      <c r="J43" s="9" t="inlineStr">
        <is>
          <t>Abierto</t>
        </is>
      </c>
      <c r="K43" s="9" t="inlineStr"/>
      <c r="L43" s="9" t="inlineStr"/>
      <c r="M43" s="9" t="inlineStr"/>
      <c r="N43" s="9" t="inlineStr"/>
      <c r="O43" s="10" t="inlineStr">
        <is>
          <t>Alta (Ethos)</t>
        </is>
      </c>
      <c r="P43" s="10" t="inlineStr">
        <is>
          <t>2026-10-04</t>
        </is>
      </c>
      <c r="Q43" s="10" t="inlineStr">
        <is>
          <t>Revisión Ethos del respaldo 658424 (v431_03_10_r1.zip del 2026-10-02).</t>
        </is>
      </c>
    </row>
    <row r="44">
      <c r="A44" s="6" t="inlineStr">
        <is>
          <t>F48</t>
        </is>
      </c>
      <c r="B44" s="7" t="inlineStr">
        <is>
          <t>Ethos</t>
        </is>
      </c>
      <c r="C44" s="8" t="inlineStr">
        <is>
          <t>Alto</t>
        </is>
      </c>
      <c r="D44" s="7" t="inlineStr">
        <is>
          <t>Drop al conveyor: interlock de drop-off después de PTP P5; AtDrop3 re-enseñado (se conserva)</t>
        </is>
      </c>
      <c r="E44" s="7" t="inlineStr">
        <is>
          <t>Código + prueba en celda</t>
        </is>
      </c>
      <c r="F44" s="7" t="inlineStr">
        <is>
          <t>Programador robot / Gestamp controles</t>
        </is>
      </c>
      <c r="G44" s="7" t="inlineStr">
        <is>
          <t>KRC/R1/Program/StyleDrops/Options/style1drop1opt1.src, KRC/R1/Program/StyleDrops/Options/style1drop1opt1.dat</t>
        </is>
      </c>
      <c r="H44" s="7" t="inlineStr">
        <is>
          <t>• AC_DropOffCheck(1) antes del primer movimiento hacia el conveyor en el respaldo.
• Prueba en celda: con $IN[75] di075DropOffMachine1 OFF el robot espera antes de moverse hacia el conveyor (mensaje de espera); con $IN[75] ON hace 5 ciclos dejando la pieza en AtDrop3. Anotar fecha.</t>
        </is>
      </c>
      <c r="I44" s="7" t="inlineStr"/>
      <c r="J44" s="9" t="inlineStr">
        <is>
          <t>Abierto</t>
        </is>
      </c>
      <c r="K44" s="9" t="inlineStr"/>
      <c r="L44" s="9" t="inlineStr"/>
      <c r="M44" s="9" t="inlineStr"/>
      <c r="N44" s="9" t="inlineStr"/>
      <c r="O44" s="10" t="inlineStr">
        <is>
          <t>Sin cambio</t>
        </is>
      </c>
      <c r="P44" s="10" t="inlineStr">
        <is>
          <t>2026-10-11</t>
        </is>
      </c>
      <c r="Q44" s="10" t="inlineStr">
        <is>
          <t>Respaldo del 10/10 (versión de oficina del 05/10 cargada + cambios suyos del 06 al 10/10). AC_DropOffCheck(1) sigue después de PTP P5 (style1drop1opt1.src:38 y :49). P1 quitado.</t>
        </is>
      </c>
    </row>
    <row r="45">
      <c r="A45" s="2" t="inlineStr">
        <is>
          <t>F49</t>
        </is>
      </c>
      <c r="B45" s="3" t="inlineStr">
        <is>
          <t>Ethos</t>
        </is>
      </c>
      <c r="C45" s="5" t="inlineStr">
        <is>
          <t>Alto</t>
        </is>
      </c>
      <c r="D45" s="3" t="inlineStr">
        <is>
          <t>AutomationCore_BKG activado y editado sin decisión registrada</t>
        </is>
      </c>
      <c r="E45" s="3" t="inlineStr">
        <is>
          <t>Decisión Gestamp + código</t>
        </is>
      </c>
      <c r="F45" s="3" t="inlineStr">
        <is>
          <t>Gestamp controles + Programador robot</t>
        </is>
      </c>
      <c r="G45" s="3" t="inlineStr">
        <is>
          <t>KRC/R1/System/sps.sub, KRC/R1/TP/AutomationCore/automationcoreroutines.src, KRC/R1/TP/AutomationCore/automationcoreroutines.dat</t>
        </is>
      </c>
      <c r="H45" s="3"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45" s="3" t="inlineStr">
        <is>
          <t>F12, F43, C28</t>
        </is>
      </c>
      <c r="J45" s="3" t="inlineStr">
        <is>
          <t>Aceptado sin cambio</t>
        </is>
      </c>
      <c r="K45" s="3" t="inlineStr"/>
      <c r="L45" s="3" t="inlineStr"/>
      <c r="M45" s="3" t="inlineStr"/>
      <c r="N45" s="3" t="inlineStr"/>
      <c r="O45" s="3" t="inlineStr">
        <is>
          <t>Nota</t>
        </is>
      </c>
      <c r="P45" s="3" t="inlineStr">
        <is>
          <t>2026-10-12</t>
        </is>
      </c>
      <c r="Q45" s="3" t="inlineStr">
        <is>
          <t>Respaldo del 11/10 22:32. Desde el 10/10 AutomationCore_BKG está apagado (versión de oficina cargada). Si se reactiva (C01), igual que R20; sus ediciones siguen en el archivo del proveedor (C28).</t>
        </is>
      </c>
    </row>
    <row r="46">
      <c r="A46" s="6" t="inlineStr">
        <is>
          <t>F50</t>
        </is>
      </c>
      <c r="B46" s="7" t="inlineStr">
        <is>
          <t>Ethos</t>
        </is>
      </c>
      <c r="C46" s="8" t="inlineStr">
        <is>
          <t>Alto</t>
        </is>
      </c>
      <c r="D46" s="7" t="inlineStr">
        <is>
          <t>Permiso de aplicación 1 (nut check / cámara) revisado después de llegar a P22</t>
        </is>
      </c>
      <c r="E46" s="7" t="inlineStr">
        <is>
          <t>Código + prueba en celda</t>
        </is>
      </c>
      <c r="F46" s="7" t="inlineStr">
        <is>
          <t>Programador robot</t>
        </is>
      </c>
      <c r="G46" s="7" t="inlineStr">
        <is>
          <t>KRC/R1/Program/StyleApps/Options/style1app2opt1.src</t>
        </is>
      </c>
      <c r="H46" s="7" t="inlineStr">
        <is>
          <t>• AC_ApplicationCheck(1) antes de PTP P22 en el respaldo.
• Prueba en celda: con $IN[70] OFF el robot espera antes de moverse a P22 (mensaje de espera); con $IN[70] ON el ciclo sigue normal. Anotar fecha y resultado.</t>
        </is>
      </c>
      <c r="I46" s="7" t="inlineStr"/>
      <c r="J46" s="9" t="inlineStr">
        <is>
          <t>Abierto</t>
        </is>
      </c>
      <c r="K46" s="9" t="inlineStr"/>
      <c r="L46" s="9" t="inlineStr"/>
      <c r="M46" s="9" t="inlineStr"/>
      <c r="N46" s="9" t="inlineStr"/>
      <c r="O46" s="10" t="inlineStr">
        <is>
          <t>Sin cambio</t>
        </is>
      </c>
      <c r="P46" s="10" t="inlineStr">
        <is>
          <t>2026-10-11</t>
        </is>
      </c>
      <c r="Q46" s="10" t="inlineStr">
        <is>
          <t>Respaldo del 10/10 (versión de oficina del 05/10 cargada + cambios suyos del 06 al 10/10). AC_ApplicationCheck(1) sigue después de PTP P22, ahora con CONT (style1app2opt1.src:46 y :56); el CONT se pierde por el chequeo.</t>
        </is>
      </c>
    </row>
    <row r="47">
      <c r="A47" s="2" t="inlineStr">
        <is>
          <t>F51</t>
        </is>
      </c>
      <c r="B47" s="3" t="inlineStr">
        <is>
          <t>Ethos</t>
        </is>
      </c>
      <c r="C47" s="15" t="inlineStr">
        <is>
          <t>Bajo</t>
        </is>
      </c>
      <c r="D47" s="3" t="inlineStr">
        <is>
          <t>Apps de soldadura duplicadas por estación de pick (A/B): cada cambio va en las dos</t>
        </is>
      </c>
      <c r="E47" s="3" t="inlineStr">
        <is>
          <t>Sin acción</t>
        </is>
      </c>
      <c r="F47" s="3" t="inlineStr">
        <is>
          <t>Programador robot</t>
        </is>
      </c>
      <c r="G47" s="3" t="inlineStr">
        <is>
          <t>KRC/R1/Program/StyleApps/Options/style1app1opt1A..3B, KRC/R1/Program/Styles/Options/style1opt1.src</t>
        </is>
      </c>
      <c r="H47" s="3" t="inlineStr">
        <is>
          <t>• Documentado; se revisa en cada auditoría que A y B sigan iguales en código.</t>
        </is>
      </c>
      <c r="I47" s="3" t="inlineStr"/>
      <c r="J47" s="3" t="inlineStr">
        <is>
          <t>Sin acción - documentado</t>
        </is>
      </c>
      <c r="K47" s="3" t="inlineStr"/>
      <c r="L47" s="3" t="inlineStr"/>
      <c r="M47" s="3" t="inlineStr"/>
      <c r="N47" s="3" t="inlineStr"/>
      <c r="O47" s="3" t="inlineStr">
        <is>
          <t>Alta (auditoría)</t>
        </is>
      </c>
      <c r="P47" s="3" t="inlineStr">
        <is>
          <t>2026-10-05</t>
        </is>
      </c>
      <c r="Q47" s="3" t="inlineStr">
        <is>
          <t>Integrado en la versión depurada.</t>
        </is>
      </c>
    </row>
    <row r="48">
      <c r="A48" s="6" t="inlineStr">
        <is>
          <t>F52</t>
        </is>
      </c>
      <c r="B48" s="7" t="inlineStr">
        <is>
          <t>Ethos</t>
        </is>
      </c>
      <c r="C48" s="8" t="inlineStr">
        <is>
          <t>Alto</t>
        </is>
      </c>
      <c r="D48" s="7" t="inlineStr">
        <is>
          <t>Tiempo ciclo de R10: meta 38 s pieza a pieza (medir el ciclo completo y bajarlo)</t>
        </is>
      </c>
      <c r="E48" s="7" t="inlineStr">
        <is>
          <t>Código + prueba en celda</t>
        </is>
      </c>
      <c r="F48" s="7" t="inlineStr">
        <is>
          <t>Programador robot</t>
        </is>
      </c>
      <c r="G48" s="7" t="inlineStr">
        <is>
          <t>KRC/R1/Program/Centerline/PRELOAD.src, KRC/R1/Program/Centerline/centerline_weld.src, KRC/R1/Program/Centerline/Request_next_nut.src, KRC/R1/Program/Centerline/CL_CYCLE_TIME.src, KRC/R1/Program/StyleApps/Options/style1app1opt1A..3B, KRC/R1/System/$config.dat</t>
        </is>
      </c>
      <c r="H48" s="7" t="inlineStr">
        <is>
          <t>• Respaldo con 10 piezas seguidas en automático: nCtCycle, nCtWaitSum, nCtInWelder, nCtHomeWait y nCtPlcWait leídos.
• 38 s pieza a pieza en automático (nCtCycle de 10 piezas seguidas); la espera en HOME por otras estaciones (nCtHomeWait) se reporta aparte.
• Cada cambio de tiempo ciclo probado en T1 y a 100 % sin tocar el tiempo de soldadura, los chequeos de calidad ni los interlocks de seguridad.</t>
        </is>
      </c>
      <c r="I48" s="7" t="inlineStr"/>
      <c r="J48" s="9" t="inlineStr">
        <is>
          <t>En proceso</t>
        </is>
      </c>
      <c r="K48" s="9" t="inlineStr"/>
      <c r="L48" s="9" t="inlineStr"/>
      <c r="M48" s="9" t="inlineStr"/>
      <c r="N48" s="9" t="inlineStr"/>
      <c r="O48" s="10" t="inlineStr">
        <is>
          <t>Medición</t>
        </is>
      </c>
      <c r="P48" s="10" t="inlineStr">
        <is>
          <t>2026-10-13</t>
        </is>
      </c>
      <c r="Q48" s="10" t="inlineStr">
        <is>
          <t>Respaldo del 13/10 07:32. AutomationCore: último ciclo 67 s (nCycleTime). Los timers CT_* del programador no cambiaron desde el 10/10: en los respaldos del 11 y 13/10 no hay ninguna soldadura registrada. La entrega de esperas del PLC (entregas/2026-10-11_F52_esperas_PLC) queda obsoleta: sus 7 archivos cambiaron en este respaldo (comentarios y GUN_OPEN_LOST); cargarla desharía esos cambios.</t>
        </is>
      </c>
    </row>
    <row r="49">
      <c r="A49" s="2" t="inlineStr">
        <is>
          <t>F53</t>
        </is>
      </c>
      <c r="B49" s="3" t="inlineStr">
        <is>
          <t>Ethos</t>
        </is>
      </c>
      <c r="C49" s="5" t="inlineStr">
        <is>
          <t>Alto</t>
        </is>
      </c>
      <c r="D49" s="3" t="inlineStr">
        <is>
          <t>Tiempo ciclo del programador: pre-alimenta la tuerca, la pide con la pieza aún en la pistola, CONT/PTP y sin esperas de 0.2 s</t>
        </is>
      </c>
      <c r="E49" s="3" t="inlineStr">
        <is>
          <t>Prueba en celda</t>
        </is>
      </c>
      <c r="F49" s="3" t="inlineStr">
        <is>
          <t>Programador robot</t>
        </is>
      </c>
      <c r="G49" s="3" t="inlineStr">
        <is>
          <t>KRC/R1/Program/Centerline/preload.src, KRC/R1/Program/Centerline/centerline_weld.src, KRC/R1/Program/StyleApps/Options/style1app1opt1a..3b, KRC/R1/System/sps.sub, KRC/R1/System/$config.dat</t>
        </is>
      </c>
      <c r="H49" s="3" t="inlineStr">
        <is>
          <t>• Validado en celda por el programador (ciclos en automático sin tuerca faltante ni doble).</t>
        </is>
      </c>
      <c r="I49" s="3" t="inlineStr">
        <is>
          <t>F52</t>
        </is>
      </c>
      <c r="J49" s="3" t="inlineStr">
        <is>
          <t>Aceptado sin cambio</t>
        </is>
      </c>
      <c r="K49" s="3" t="inlineStr"/>
      <c r="L49" s="3" t="inlineStr"/>
      <c r="M49" s="3" t="inlineStr"/>
      <c r="N49" s="3" t="inlineStr"/>
      <c r="O49" s="3" t="inlineStr">
        <is>
          <t>Nota</t>
        </is>
      </c>
      <c r="P49" s="3" t="inlineStr">
        <is>
          <t>2026-10-12</t>
        </is>
      </c>
      <c r="Q49" s="3" t="inlineStr">
        <is>
          <t>Respaldo del 11/10 22:32. La pre-alimentación volvió a 2 s y regresó el WAIT SEC 0.2 entre GunWork y GunHome al abrir la pistola, los dos como R20.</t>
        </is>
      </c>
    </row>
    <row r="50">
      <c r="A50" s="6" t="inlineStr">
        <is>
          <t>F54</t>
        </is>
      </c>
      <c r="B50" s="7" t="inlineStr">
        <is>
          <t>Ethos</t>
        </is>
      </c>
      <c r="C50" s="8" t="inlineStr">
        <is>
          <t>Alto</t>
        </is>
      </c>
      <c r="D50" s="7" t="inlineStr">
        <is>
          <t>Cámara: el resultado se lee en cuanto hay OK o NG; confirmar que no es el de la pieza anterior</t>
        </is>
      </c>
      <c r="E50" s="7" t="inlineStr">
        <is>
          <t>Prueba en celda</t>
        </is>
      </c>
      <c r="F50" s="7" t="inlineStr">
        <is>
          <t>Programador robot / PLC</t>
        </is>
      </c>
      <c r="G50" s="7" t="inlineStr">
        <is>
          <t>KRC/R1/Program/StyleApps/Options/style1app2opt2.src</t>
        </is>
      </c>
      <c r="H50" s="7" t="inlineStr">
        <is>
          <t>• Confirmación del PLC (nombre y fecha) de cuándo se borran di100/di101.
• Prueba en celda: una pieza NG (o el red rabbit) justo después de una pieza OK; el robot la manda a scrap (o da PASSED en red rabbit).</t>
        </is>
      </c>
      <c r="I50" s="7" t="inlineStr"/>
      <c r="J50" s="9" t="inlineStr">
        <is>
          <t>Abierto</t>
        </is>
      </c>
      <c r="K50" s="9" t="inlineStr"/>
      <c r="L50" s="9" t="inlineStr"/>
      <c r="M50" s="9" t="inlineStr"/>
      <c r="N50" s="9" t="inlineStr"/>
      <c r="O50" s="10" t="inlineStr">
        <is>
          <t>Alta (auditoría)</t>
        </is>
      </c>
      <c r="P50" s="10" t="inlineStr">
        <is>
          <t>2026-10-12</t>
        </is>
      </c>
      <c r="Q50" s="10" t="inlineStr">
        <is>
          <t>Encontrado en el respaldo del 11/10 22:32.</t>
        </is>
      </c>
    </row>
    <row r="51">
      <c r="A51" s="6" t="inlineStr">
        <is>
          <t>C01</t>
        </is>
      </c>
      <c r="B51" s="7" t="inlineStr">
        <is>
          <t>Ethos</t>
        </is>
      </c>
      <c r="C51" s="17" t="inlineStr">
        <is>
          <t>-</t>
        </is>
      </c>
      <c r="D51" s="7" t="inlineStr">
        <is>
          <t>AutomationCore_Bkg deshabilitado: el estatus al PLC no se actualiza</t>
        </is>
      </c>
      <c r="E51" s="7" t="inlineStr">
        <is>
          <t>Decisión Gestamp</t>
        </is>
      </c>
      <c r="F51" s="7" t="inlineStr">
        <is>
          <t>Gestamp controles / Ethos (Edgar)</t>
        </is>
      </c>
      <c r="G51" s="7" t="inlineStr">
        <is>
          <t>KRC/R1/System/sps.sub, KRC/R1/TP/AutomationCore/automationcoreroutines.src</t>
        </is>
      </c>
      <c r="H51" s="7" t="inlineStr">
        <is>
          <t>• Se cierra cuando se cierra F12.</t>
        </is>
      </c>
      <c r="I51" s="7" t="inlineStr"/>
      <c r="J51" s="9" t="inlineStr">
        <is>
          <t>Reabierto</t>
        </is>
      </c>
      <c r="K51" s="9" t="inlineStr"/>
      <c r="L51" s="9" t="inlineStr"/>
      <c r="M51" s="9" t="inlineStr"/>
      <c r="N51" s="9" t="inlineStr"/>
      <c r="O51" s="10" t="inlineStr">
        <is>
          <t>Reabierto</t>
        </is>
      </c>
      <c r="P51" s="10" t="inlineStr">
        <is>
          <t>2026-10-12</t>
        </is>
      </c>
      <c r="Q51" s="10" t="inlineStr">
        <is>
          <t>Respaldo del 11/10 22:32. Corrección de la auditoría del 10/10: desde ese respaldo (versión de oficina cargada) AutomationCore_BKG está apagado otra vez (fold vacío en sps.sub y sus salidas en OFF al arrancar). El programador copia en sps.sub parte de sus señales (weld enable y weld mode, aire, agua, tolva, nut ready/fault, cambio de electrodo y, desde el 11/10, robot en repair). Faltan request to enter (C19), brake test pendiente (C14), mastering pendiente, batería, velocidad distinta de 100 %, eje 1, Tool ID, pounce / tip dress / switch de referencia y el arranque automático del programa CELL. En su respaldo del 05/10 y en R20 está activo.</t>
        </is>
      </c>
    </row>
    <row r="52">
      <c r="A52" s="2" t="inlineStr">
        <is>
          <t>C03</t>
        </is>
      </c>
      <c r="B52" s="3" t="inlineStr">
        <is>
          <t>Ethos</t>
        </is>
      </c>
      <c r="C52" s="16" t="inlineStr">
        <is>
          <t>-</t>
        </is>
      </c>
      <c r="D52" s="3" t="inlineStr">
        <is>
          <t>Encabezado estándar Gestamp en cada módulo del integrador</t>
        </is>
      </c>
      <c r="E52" s="3" t="inlineStr">
        <is>
          <t>Sin acción</t>
        </is>
      </c>
      <c r="F52" s="3" t="inlineStr">
        <is>
          <t>Programador robot</t>
        </is>
      </c>
      <c r="G52" s="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52" s="3" t="inlineStr">
        <is>
          <t>• Ningún módulo que hoy tiene el bloque '; Gestamp Standards' lo pierde en el respaldo.
• Todo .src nuevo del integrador trae el bloque completo (Gestamp Standards / Line / Robot 03-10-R1 (designación) / Application) y un &amp;COMMENT con 03-10-R1.</t>
        </is>
      </c>
      <c r="I52" s="3" t="inlineStr"/>
      <c r="J52" s="3" t="inlineStr">
        <is>
          <t>Cerrado - depuración</t>
        </is>
      </c>
      <c r="K52" s="3" t="inlineStr"/>
      <c r="L52" s="3" t="inlineStr"/>
      <c r="M52" s="3" t="inlineStr"/>
      <c r="N52" s="3" t="inlineStr"/>
      <c r="O52" s="3" t="inlineStr">
        <is>
          <t>Alta (Ethos)</t>
        </is>
      </c>
      <c r="P52" s="3" t="inlineStr">
        <is>
          <t>2026-10-04</t>
        </is>
      </c>
      <c r="Q52" s="3" t="inlineStr">
        <is>
          <t>Revisión Ethos del respaldo 658424 (v431_03_10_r1.zip del 2026-10-02).</t>
        </is>
      </c>
    </row>
    <row r="53">
      <c r="A53" s="6" t="inlineStr">
        <is>
          <t>C04</t>
        </is>
      </c>
      <c r="B53" s="7" t="inlineStr">
        <is>
          <t>Ethos</t>
        </is>
      </c>
      <c r="C53" s="17" t="inlineStr">
        <is>
          <t>-</t>
        </is>
      </c>
      <c r="D53" s="7" t="inlineStr">
        <is>
          <t>Movimientos de pedestal interpolados sobre el dado fijo (external TCP)</t>
        </is>
      </c>
      <c r="E53" s="7" t="inlineStr">
        <is>
          <t>Código + prueba en celda</t>
        </is>
      </c>
      <c r="F53" s="7" t="inlineStr">
        <is>
          <t>Ethos (Edgar) / Programador robot</t>
        </is>
      </c>
      <c r="G53" s="7" t="inlineStr">
        <is>
          <t>KRC/R1/Program/StyleApps/Options/style1app1opt1.src, KRC/R1/Program/StyleApps/Options/style1app1opt2.src, KRC/R1/Program/StyleApps/Options/style1app1opt3.src, KRC/R1/Program/Utilities/RejectGE4.src, KRC/R1/Program/StyleApps/Options/style1app2opt2.src</t>
        </is>
      </c>
      <c r="H53" s="7"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53" s="7" t="inlineStr">
        <is>
          <t>C05, F22</t>
        </is>
      </c>
      <c r="J53" s="9" t="inlineStr">
        <is>
          <t>Requiere decisión</t>
        </is>
      </c>
      <c r="K53" s="9" t="inlineStr"/>
      <c r="L53" s="9" t="inlineStr"/>
      <c r="M53" s="9" t="inlineStr"/>
      <c r="N53" s="9" t="inlineStr"/>
      <c r="O53" s="10" t="inlineStr">
        <is>
          <t>Alta (Ethos)</t>
        </is>
      </c>
      <c r="P53" s="10" t="inlineStr">
        <is>
          <t>2026-10-04</t>
        </is>
      </c>
      <c r="Q53" s="10" t="inlineStr">
        <is>
          <t>Revisión Ethos del respaldo 658424 (v431_03_10_r1.zip del 2026-10-02).</t>
        </is>
      </c>
    </row>
    <row r="54">
      <c r="A54" s="6" t="inlineStr">
        <is>
          <t>C05</t>
        </is>
      </c>
      <c r="B54" s="7" t="inlineStr">
        <is>
          <t>Ethos</t>
        </is>
      </c>
      <c r="C54" s="17" t="inlineStr">
        <is>
          <t>-</t>
        </is>
      </c>
      <c r="D54" s="7" t="inlineStr">
        <is>
          <t>TCP remoto del pedestal (BASE_DATA[3]) sin medir</t>
        </is>
      </c>
      <c r="E54" s="7" t="inlineStr">
        <is>
          <t>Confirmar en sitio</t>
        </is>
      </c>
      <c r="F54" s="7" t="inlineStr">
        <is>
          <t>Puesta en marcha / Programador robot</t>
        </is>
      </c>
      <c r="G54" s="7" t="inlineStr">
        <is>
          <t>KRC/R1/System/$config.dat, KRC/R1/Program/StyleApps/Options/style1app1opt1.src, KRC/R1/Program/StyleApps/Options/style1app1opt2.src, KRC/R1/Program/StyleApps/Options/style1app1opt3.src, KRC/R1/Program/Utilities/RejectGE4.src, KRC/R1/Program/StyleApps/Options/style1app2opt2.src</t>
        </is>
      </c>
      <c r="H54" s="7"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54" s="7" t="inlineStr"/>
      <c r="J54" s="9" t="inlineStr">
        <is>
          <t>Abierto</t>
        </is>
      </c>
      <c r="K54" s="9" t="inlineStr"/>
      <c r="L54" s="9" t="inlineStr"/>
      <c r="M54" s="9" t="inlineStr"/>
      <c r="N54" s="9" t="inlineStr"/>
      <c r="O54" s="10" t="inlineStr">
        <is>
          <t>Alta (Ethos)</t>
        </is>
      </c>
      <c r="P54" s="10" t="inlineStr">
        <is>
          <t>2026-10-04</t>
        </is>
      </c>
      <c r="Q54" s="10" t="inlineStr">
        <is>
          <t>Revisión Ethos del respaldo 658424 (v431_03_10_r1.zip del 2026-10-02).</t>
        </is>
      </c>
    </row>
    <row r="55">
      <c r="A55" s="6" t="inlineStr">
        <is>
          <t>C06</t>
        </is>
      </c>
      <c r="B55" s="7" t="inlineStr">
        <is>
          <t>Ethos</t>
        </is>
      </c>
      <c r="C55" s="17" t="inlineStr">
        <is>
          <t>-</t>
        </is>
      </c>
      <c r="D55" s="7" t="inlineStr">
        <is>
          <t>Herramientas y bases con nombre: nombres de otro proyecto</t>
        </is>
      </c>
      <c r="E55" s="7" t="inlineStr">
        <is>
          <t>Código + prueba en celda</t>
        </is>
      </c>
      <c r="F55" s="7" t="inlineStr">
        <is>
          <t>Programador robot</t>
        </is>
      </c>
      <c r="G55" s="7" t="inlineStr">
        <is>
          <t>KRC/R1/System/$config.dat, KRC/R1/TP/BrakeTest/braketeststart.src</t>
        </is>
      </c>
      <c r="H55" s="7"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55" s="7" t="inlineStr">
        <is>
          <t>F47</t>
        </is>
      </c>
      <c r="J55" s="9" t="inlineStr">
        <is>
          <t>Abierto</t>
        </is>
      </c>
      <c r="K55" s="9" t="inlineStr"/>
      <c r="L55" s="9" t="inlineStr"/>
      <c r="M55" s="9" t="inlineStr"/>
      <c r="N55" s="9" t="inlineStr"/>
      <c r="O55" s="10" t="inlineStr">
        <is>
          <t>Alta (Ethos)</t>
        </is>
      </c>
      <c r="P55" s="10" t="inlineStr">
        <is>
          <t>2026-10-04</t>
        </is>
      </c>
      <c r="Q55" s="10" t="inlineStr">
        <is>
          <t>Revisión Ethos del respaldo 658424 (v431_03_10_r1.zip del 2026-10-02).</t>
        </is>
      </c>
    </row>
    <row r="56">
      <c r="A56" s="6" t="inlineStr">
        <is>
          <t>C07</t>
        </is>
      </c>
      <c r="B56" s="7" t="inlineStr">
        <is>
          <t>Ethos</t>
        </is>
      </c>
      <c r="C56" s="17" t="inlineStr">
        <is>
          <t>-</t>
        </is>
      </c>
      <c r="D56" s="7" t="inlineStr">
        <is>
          <t>Un user frame por utillaje: picks, nut check, reject y drops en WORLD</t>
        </is>
      </c>
      <c r="E56" s="7" t="inlineStr">
        <is>
          <t>Decisión Gestamp</t>
        </is>
      </c>
      <c r="F56" s="7" t="inlineStr">
        <is>
          <t>Gestamp controles / Ethos (Edgar)</t>
        </is>
      </c>
      <c r="G56" s="7"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56" s="7"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56" s="7" t="inlineStr"/>
      <c r="J56" s="9" t="inlineStr">
        <is>
          <t>Requiere decisión</t>
        </is>
      </c>
      <c r="K56" s="9" t="inlineStr"/>
      <c r="L56" s="9" t="inlineStr"/>
      <c r="M56" s="9" t="inlineStr"/>
      <c r="N56" s="9" t="inlineStr"/>
      <c r="O56" s="10" t="inlineStr">
        <is>
          <t>Alta (Ethos)</t>
        </is>
      </c>
      <c r="P56" s="10" t="inlineStr">
        <is>
          <t>2026-10-04</t>
        </is>
      </c>
      <c r="Q56" s="10" t="inlineStr">
        <is>
          <t>Revisión Ethos del respaldo 658424 (v431_03_10_r1.zip del 2026-10-02).</t>
        </is>
      </c>
    </row>
    <row r="57">
      <c r="A57" s="6" t="inlineStr">
        <is>
          <t>C08</t>
        </is>
      </c>
      <c r="B57" s="7" t="inlineStr">
        <is>
          <t>Ethos</t>
        </is>
      </c>
      <c r="C57" s="17" t="inlineStr">
        <is>
          <t>-</t>
        </is>
      </c>
      <c r="D57" s="7" t="inlineStr">
        <is>
          <t>Datos de carga: LOAD_DATA[1] tecleado, sin determinar</t>
        </is>
      </c>
      <c r="E57" s="7" t="inlineStr">
        <is>
          <t>Código + prueba en celda</t>
        </is>
      </c>
      <c r="F57" s="7" t="inlineStr">
        <is>
          <t>Programador robot / Puesta en marcha</t>
        </is>
      </c>
      <c r="G57" s="7"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57" s="7" t="inlineStr">
        <is>
          <t>• LOAD_DATA[1] coincide con el resultado de LoadDataDetermination del EOAT 1 sin pieza.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57" s="7" t="inlineStr">
        <is>
          <t>G03, F39</t>
        </is>
      </c>
      <c r="J57" s="9" t="inlineStr">
        <is>
          <t>En proceso</t>
        </is>
      </c>
      <c r="K57" s="9" t="inlineStr"/>
      <c r="L57" s="9" t="inlineStr"/>
      <c r="M57" s="9" t="inlineStr"/>
      <c r="N57" s="9" t="inlineStr"/>
      <c r="O57" s="10" t="inlineStr">
        <is>
          <t>Avance del programador</t>
        </is>
      </c>
      <c r="P57" s="10" t="inlineStr">
        <is>
          <t>2026-10-11</t>
        </is>
      </c>
      <c r="Q57" s="10"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58">
      <c r="A58" s="6" t="inlineStr">
        <is>
          <t>C09</t>
        </is>
      </c>
      <c r="B58" s="7" t="inlineStr">
        <is>
          <t>Ethos</t>
        </is>
      </c>
      <c r="C58" s="17" t="inlineStr">
        <is>
          <t>-</t>
        </is>
      </c>
      <c r="D58" s="7" t="inlineStr">
        <is>
          <t>Detección de colisión apagada en todo el programa; la reacción es un HALT</t>
        </is>
      </c>
      <c r="E58" s="7" t="inlineStr">
        <is>
          <t>Código + prueba en celda</t>
        </is>
      </c>
      <c r="F58" s="7" t="inlineStr">
        <is>
          <t>Programador robot / Puesta en marcha</t>
        </is>
      </c>
      <c r="G58" s="7"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58" s="7"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58" s="7" t="inlineStr">
        <is>
          <t>C08, F39</t>
        </is>
      </c>
      <c r="J58" s="9" t="inlineStr">
        <is>
          <t>Abierto</t>
        </is>
      </c>
      <c r="K58" s="9" t="inlineStr"/>
      <c r="L58" s="9" t="inlineStr"/>
      <c r="M58" s="9" t="inlineStr"/>
      <c r="N58" s="9" t="inlineStr"/>
      <c r="O58" s="10" t="inlineStr">
        <is>
          <t>Nota</t>
        </is>
      </c>
      <c r="P58" s="10" t="inlineStr">
        <is>
          <t>2026-10-13</t>
        </is>
      </c>
      <c r="Q58" s="10" t="inlineStr">
        <is>
          <t>Respaldo del 13/10 07:32. tm_bib.dat: iSTOP_TYPE de 53 a 20 (tipo de paro de TorqueMonitoring). La detección de colisión sigue apagada: TQ_STATE FALSE en todos los movimientos y BTQM_ACTIVE=FALSE ($config.dat:83).</t>
        </is>
      </c>
    </row>
    <row r="59">
      <c r="A59" s="6" t="inlineStr">
        <is>
          <t>C10</t>
        </is>
      </c>
      <c r="B59" s="7" t="inlineStr">
        <is>
          <t>Ethos</t>
        </is>
      </c>
      <c r="C59" s="17" t="inlineStr">
        <is>
          <t>-</t>
        </is>
      </c>
      <c r="D59" s="7" t="inlineStr">
        <is>
          <t>Falta el programa de mastering ZERO_G1</t>
        </is>
      </c>
      <c r="E59" s="7" t="inlineStr">
        <is>
          <t>Código + prueba en celda</t>
        </is>
      </c>
      <c r="F59" s="7" t="inlineStr">
        <is>
          <t>Programador robot</t>
        </is>
      </c>
      <c r="G59" s="7" t="inlineStr">
        <is>
          <t>KRC/R1/Program/ZERO_G1.src (nuevo)</t>
        </is>
      </c>
      <c r="H59" s="7"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59" s="7" t="inlineStr"/>
      <c r="J59" s="9" t="inlineStr">
        <is>
          <t>Abierto</t>
        </is>
      </c>
      <c r="K59" s="9" t="inlineStr"/>
      <c r="L59" s="9" t="inlineStr"/>
      <c r="M59" s="9" t="inlineStr"/>
      <c r="N59" s="9" t="inlineStr"/>
      <c r="O59" s="10" t="inlineStr">
        <is>
          <t>Alta (Ethos)</t>
        </is>
      </c>
      <c r="P59" s="10" t="inlineStr">
        <is>
          <t>2026-10-04</t>
        </is>
      </c>
      <c r="Q59" s="10" t="inlineStr">
        <is>
          <t>Revisión Ethos del respaldo 658424 (v431_03_10_r1.zip del 2026-10-02).</t>
        </is>
      </c>
    </row>
    <row r="60">
      <c r="A60" s="6" t="inlineStr">
        <is>
          <t>C11</t>
        </is>
      </c>
      <c r="B60" s="7" t="inlineStr">
        <is>
          <t>Ethos</t>
        </is>
      </c>
      <c r="C60" s="17" t="inlineStr">
        <is>
          <t>-</t>
        </is>
      </c>
      <c r="D60" s="7" t="inlineStr">
        <is>
          <t>Zonas sin documentar: ninguna zona pedida, falta la forma NA-FM-71-138.1</t>
        </is>
      </c>
      <c r="E60" s="7" t="inlineStr">
        <is>
          <t>Información Gestamp</t>
        </is>
      </c>
      <c r="F60" s="7" t="inlineStr">
        <is>
          <t>Ethos (Edgar) / Gestamp controles</t>
        </is>
      </c>
      <c r="G60" s="7" t="inlineStr">
        <is>
          <t>KRC/R1/Program/Utilities/hometorepair.src, KRC/R1/Program/Utilities/repairtohome.src, KRC/R1/Program/Utilities/hometopounce.src, KRC/R1/Program/Styles/Options/style1opt1.src</t>
        </is>
      </c>
      <c r="H60" s="7"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60" s="7" t="inlineStr"/>
      <c r="J60" s="9" t="inlineStr">
        <is>
          <t>Requiere decisión</t>
        </is>
      </c>
      <c r="K60" s="9" t="inlineStr"/>
      <c r="L60" s="9" t="inlineStr"/>
      <c r="M60" s="9" t="inlineStr"/>
      <c r="N60" s="9" t="inlineStr"/>
      <c r="O60" s="10" t="inlineStr">
        <is>
          <t>Alta (Ethos)</t>
        </is>
      </c>
      <c r="P60" s="10" t="inlineStr">
        <is>
          <t>2026-10-04</t>
        </is>
      </c>
      <c r="Q60" s="10" t="inlineStr">
        <is>
          <t>Revisión Ethos del respaldo 658424 (v431_03_10_r1.zip del 2026-10-02).</t>
        </is>
      </c>
    </row>
    <row r="61">
      <c r="A61" s="2" t="inlineStr">
        <is>
          <t>C12</t>
        </is>
      </c>
      <c r="B61" s="3" t="inlineStr">
        <is>
          <t>Ethos</t>
        </is>
      </c>
      <c r="C61" s="16" t="inlineStr">
        <is>
          <t>-</t>
        </is>
      </c>
      <c r="D61" s="3" t="inlineStr">
        <is>
          <t>Pounce común: el ciclo no pasa por pounce y do007RobotAtPounce no se calcula</t>
        </is>
      </c>
      <c r="E61" s="3" t="inlineStr">
        <is>
          <t>Decisión Gestamp</t>
        </is>
      </c>
      <c r="F61" s="3" t="inlineStr">
        <is>
          <t>Gestamp controles / Ethos (Edgar)</t>
        </is>
      </c>
      <c r="G61" s="3"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61" s="3"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61" s="3" t="inlineStr">
        <is>
          <t>F12</t>
        </is>
      </c>
      <c r="J61" s="3" t="inlineStr">
        <is>
          <t>Aceptado sin cambio</t>
        </is>
      </c>
      <c r="K61" s="3" t="inlineStr"/>
      <c r="L61" s="3" t="inlineStr"/>
      <c r="M61" s="3" t="inlineStr"/>
      <c r="N61" s="3" t="inlineStr"/>
      <c r="O61" s="3" t="inlineStr">
        <is>
          <t>Nota</t>
        </is>
      </c>
      <c r="P61" s="3" t="inlineStr">
        <is>
          <t>2026-10-13</t>
        </is>
      </c>
      <c r="Q61" s="3" t="inlineStr">
        <is>
          <t>Respaldo del 13/10 07:32. XPOUNCE re-enseñado (100.7 mm más arriba, automationglobalpos.dat:13). El ciclo sigue sin pasar por pounce.</t>
        </is>
      </c>
    </row>
    <row r="62">
      <c r="A62" s="2" t="inlineStr">
        <is>
          <t>C13</t>
        </is>
      </c>
      <c r="B62" s="3" t="inlineStr">
        <is>
          <t>Ethos</t>
        </is>
      </c>
      <c r="C62" s="16" t="inlineStr">
        <is>
          <t>-</t>
        </is>
      </c>
      <c r="D62" s="3" t="inlineStr">
        <is>
          <t>Manejo de zonas coherente</t>
        </is>
      </c>
      <c r="E62" s="3" t="inlineStr">
        <is>
          <t>Sin acción</t>
        </is>
      </c>
      <c r="F62" s="3" t="inlineStr">
        <is>
          <t>Programador robot</t>
        </is>
      </c>
      <c r="G62" s="3" t="inlineStr">
        <is>
          <t>KRC/R1/Program/Utilities/hometorepair.src, KRC/R1/Program/Utilities/repairtohome.src, KRC/R1/Program/Utilities/hometopounce.src, KRC/R1/Program/Utilities/pouncetohome.src</t>
        </is>
      </c>
      <c r="H62" s="3" t="inlineStr">
        <is>
          <t>• Se reabre si C11 o C12 agregan zonas: entonces cada zona pedida se libera al salir de ella (no solo por MaintainSystem), con prueba en T1 de las salidas de zona libre.</t>
        </is>
      </c>
      <c r="I62" s="3" t="inlineStr">
        <is>
          <t>C11</t>
        </is>
      </c>
      <c r="J62" s="3" t="inlineStr">
        <is>
          <t>No aplica</t>
        </is>
      </c>
      <c r="K62" s="3" t="inlineStr"/>
      <c r="L62" s="3" t="inlineStr"/>
      <c r="M62" s="3" t="inlineStr"/>
      <c r="N62" s="3" t="inlineStr"/>
      <c r="O62" s="3" t="inlineStr">
        <is>
          <t>Alta (Ethos)</t>
        </is>
      </c>
      <c r="P62" s="3" t="inlineStr">
        <is>
          <t>2026-10-04</t>
        </is>
      </c>
      <c r="Q62" s="3" t="inlineStr">
        <is>
          <t>Revisión Ethos del respaldo 658424 (v431_03_10_r1.zip del 2026-10-02).</t>
        </is>
      </c>
    </row>
    <row r="63">
      <c r="A63" s="6" t="inlineStr">
        <is>
          <t>C14</t>
        </is>
      </c>
      <c r="B63" s="7" t="inlineStr">
        <is>
          <t>Ethos</t>
        </is>
      </c>
      <c r="C63" s="17" t="inlineStr">
        <is>
          <t>-</t>
        </is>
      </c>
      <c r="D63" s="7" t="inlineStr">
        <is>
          <t>Brake test: el 'due' no se reporta y el camino usa tool/base de otro robot</t>
        </is>
      </c>
      <c r="E63" s="7" t="inlineStr">
        <is>
          <t>Código + prueba en celda</t>
        </is>
      </c>
      <c r="F63" s="7" t="inlineStr">
        <is>
          <t>Programador robot</t>
        </is>
      </c>
      <c r="G63" s="7" t="inlineStr">
        <is>
          <t>KRC/R1/TP/BrakeTest/braketeststart.src, KRC/R1/TP/BrakeTest/braketestback.src, KRC/R1/cell.src, KRC/R1/System/sps.sub, KRC/R1/TP/AutomationCore/automationcoreroutines.src</t>
        </is>
      </c>
      <c r="H63" s="7"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63" s="7" t="inlineStr">
        <is>
          <t>F47</t>
        </is>
      </c>
      <c r="J63" s="9" t="inlineStr">
        <is>
          <t>Reabierto</t>
        </is>
      </c>
      <c r="K63" s="9" t="inlineStr"/>
      <c r="L63" s="9" t="inlineStr"/>
      <c r="M63" s="9" t="inlineStr"/>
      <c r="N63" s="9" t="inlineStr"/>
      <c r="O63" s="10" t="inlineStr">
        <is>
          <t>Reabierto</t>
        </is>
      </c>
      <c r="P63" s="10" t="inlineStr">
        <is>
          <t>2026-10-12</t>
        </is>
      </c>
      <c r="Q63" s="10" t="inlineStr">
        <is>
          <t>Respaldo del 11/10 22:32. Corrección de la auditoría del 10/10: desde ese respaldo do021BrakeTestReqd no se escribe (FALSE al arrancar; AutomationCore_BKG apagado, C01). Sigue además el camino del brake test (F47).</t>
        </is>
      </c>
    </row>
    <row r="64">
      <c r="A64" s="2" t="inlineStr">
        <is>
          <t>C15</t>
        </is>
      </c>
      <c r="B64" s="3" t="inlineStr">
        <is>
          <t>Ethos</t>
        </is>
      </c>
      <c r="C64" s="16" t="inlineStr">
        <is>
          <t>-</t>
        </is>
      </c>
      <c r="D64" s="3" t="inlineStr">
        <is>
          <t>Dry cycle seleccionable y sin colgar el robot</t>
        </is>
      </c>
      <c r="E64" s="3" t="inlineStr">
        <is>
          <t>Código + prueba en celda</t>
        </is>
      </c>
      <c r="F64" s="3" t="inlineStr">
        <is>
          <t>Programador robot</t>
        </is>
      </c>
      <c r="G64" s="3"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64" s="3" t="inlineStr">
        <is>
          <t>• Se cierra cuando se cierran F04 y F05.</t>
        </is>
      </c>
      <c r="I64" s="3" t="inlineStr">
        <is>
          <t>F04, F05</t>
        </is>
      </c>
      <c r="J64" s="3" t="inlineStr">
        <is>
          <t>Se cierra con otro punto</t>
        </is>
      </c>
      <c r="K64" s="3" t="inlineStr"/>
      <c r="L64" s="3" t="inlineStr"/>
      <c r="M64" s="3" t="inlineStr"/>
      <c r="N64" s="3" t="inlineStr"/>
      <c r="O64" s="3" t="inlineStr">
        <is>
          <t>Alta (Ethos)</t>
        </is>
      </c>
      <c r="P64" s="3" t="inlineStr">
        <is>
          <t>2026-10-04</t>
        </is>
      </c>
      <c r="Q64" s="3" t="inlineStr">
        <is>
          <t>Revisión Ethos del respaldo 658424 (v431_03_10_r1.zip del 2026-10-02).</t>
        </is>
      </c>
    </row>
    <row r="65">
      <c r="A65" s="2" t="inlineStr">
        <is>
          <t>C16</t>
        </is>
      </c>
      <c r="B65" s="3" t="inlineStr">
        <is>
          <t>Ethos</t>
        </is>
      </c>
      <c r="C65" s="16" t="inlineStr">
        <is>
          <t>-</t>
        </is>
      </c>
      <c r="D65" s="3" t="inlineStr">
        <is>
          <t>Pieza presente / pieza en gripper</t>
        </is>
      </c>
      <c r="E65" s="3" t="inlineStr">
        <is>
          <t>Código + prueba en celda</t>
        </is>
      </c>
      <c r="F65" s="3" t="inlineStr">
        <is>
          <t>Programador robot</t>
        </is>
      </c>
      <c r="G65" s="3"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65" s="3" t="inlineStr">
        <is>
          <t>• Se cierra cuando se cierran G09 y F40.
• Se reabre si un cambio quita o salta alguna espera de pieza fuera de dry cycle.</t>
        </is>
      </c>
      <c r="I65" s="3" t="inlineStr">
        <is>
          <t>G09, F40</t>
        </is>
      </c>
      <c r="J65" s="3" t="inlineStr">
        <is>
          <t>Se cierra con otro punto</t>
        </is>
      </c>
      <c r="K65" s="3" t="inlineStr"/>
      <c r="L65" s="3" t="inlineStr"/>
      <c r="M65" s="3" t="inlineStr"/>
      <c r="N65" s="3" t="inlineStr"/>
      <c r="O65" s="3" t="inlineStr">
        <is>
          <t>Alta (Ethos)</t>
        </is>
      </c>
      <c r="P65" s="3" t="inlineStr">
        <is>
          <t>2026-10-04</t>
        </is>
      </c>
      <c r="Q65" s="3" t="inlineStr">
        <is>
          <t>Revisión Ethos del respaldo 658424 (v431_03_10_r1.zip del 2026-10-02).</t>
        </is>
      </c>
    </row>
    <row r="66">
      <c r="A66" s="2" t="inlineStr">
        <is>
          <t>C17</t>
        </is>
      </c>
      <c r="B66" s="3" t="inlineStr">
        <is>
          <t>Ethos</t>
        </is>
      </c>
      <c r="C66" s="16" t="inlineStr">
        <is>
          <t>-</t>
        </is>
      </c>
      <c r="D66" s="3" t="inlineStr">
        <is>
          <t>Verificación de tuercas y red rabbit</t>
        </is>
      </c>
      <c r="E66" s="3" t="inlineStr">
        <is>
          <t>Código + prueba en celda</t>
        </is>
      </c>
      <c r="F66" s="3" t="inlineStr">
        <is>
          <t>Programador robot</t>
        </is>
      </c>
      <c r="G66" s="3"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66" s="3" t="inlineStr">
        <is>
          <t>• Se cierra cuando se cierran F02, F03 y F19.</t>
        </is>
      </c>
      <c r="I66" s="3" t="inlineStr">
        <is>
          <t>F02, F03, F19</t>
        </is>
      </c>
      <c r="J66" s="3" t="inlineStr">
        <is>
          <t>Se cierra con otro punto</t>
        </is>
      </c>
      <c r="K66" s="3" t="inlineStr"/>
      <c r="L66" s="3" t="inlineStr"/>
      <c r="M66" s="3" t="inlineStr"/>
      <c r="N66" s="3" t="inlineStr"/>
      <c r="O66" s="3" t="inlineStr">
        <is>
          <t>Alta (Ethos)</t>
        </is>
      </c>
      <c r="P66" s="3" t="inlineStr">
        <is>
          <t>2026-10-04</t>
        </is>
      </c>
      <c r="Q66" s="3" t="inlineStr">
        <is>
          <t>Revisión Ethos del respaldo 658424 (v431_03_10_r1.zip del 2026-10-02).</t>
        </is>
      </c>
    </row>
    <row r="67">
      <c r="A67" s="2" t="inlineStr">
        <is>
          <t>C18</t>
        </is>
      </c>
      <c r="B67" s="3" t="inlineStr">
        <is>
          <t>Ethos</t>
        </is>
      </c>
      <c r="C67" s="16" t="inlineStr">
        <is>
          <t>-</t>
        </is>
      </c>
      <c r="D67" s="3" t="inlineStr">
        <is>
          <t>Handshakes AutomationCore de pick, application y drop</t>
        </is>
      </c>
      <c r="E67" s="3" t="inlineStr">
        <is>
          <t>Código + prueba en celda</t>
        </is>
      </c>
      <c r="F67" s="3" t="inlineStr">
        <is>
          <t>Programador robot</t>
        </is>
      </c>
      <c r="G67" s="3"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67" s="3" t="inlineStr">
        <is>
          <t>• Se cierra cuando se cierran F20, F21 y F46.</t>
        </is>
      </c>
      <c r="I67" s="3" t="inlineStr">
        <is>
          <t>F20, F21, F46</t>
        </is>
      </c>
      <c r="J67" s="3" t="inlineStr">
        <is>
          <t>Se cierra con otro punto</t>
        </is>
      </c>
      <c r="K67" s="3" t="inlineStr"/>
      <c r="L67" s="3" t="inlineStr"/>
      <c r="M67" s="3" t="inlineStr"/>
      <c r="N67" s="3" t="inlineStr"/>
      <c r="O67" s="3" t="inlineStr">
        <is>
          <t>Alta (Ethos)</t>
        </is>
      </c>
      <c r="P67" s="3" t="inlineStr">
        <is>
          <t>2026-10-04</t>
        </is>
      </c>
      <c r="Q67" s="3" t="inlineStr">
        <is>
          <t>Revisión Ethos del respaldo 658424 (v431_03_10_r1.zip del 2026-10-02).</t>
        </is>
      </c>
    </row>
    <row r="68">
      <c r="A68" s="6" t="inlineStr">
        <is>
          <t>C19</t>
        </is>
      </c>
      <c r="B68" s="7" t="inlineStr">
        <is>
          <t>Ethos</t>
        </is>
      </c>
      <c r="C68" s="17" t="inlineStr">
        <is>
          <t>-</t>
        </is>
      </c>
      <c r="D68" s="7" t="inlineStr">
        <is>
          <t>Request to enter: doCriticalWZ nunca se escribe; el PLC ve entrada permitida</t>
        </is>
      </c>
      <c r="E68" s="7" t="inlineStr">
        <is>
          <t>Código + prueba en celda</t>
        </is>
      </c>
      <c r="F68" s="7" t="inlineStr">
        <is>
          <t>Programador robot / Seguridad</t>
        </is>
      </c>
      <c r="G68" s="7" t="inlineStr">
        <is>
          <t>KRC/R1/System/sps.sub, KRC/R1/TP/AutomationCore/automationcoreroutines.src, KRC/R1/Program/Centerline/PRELOAD.src, KRC/R1/Program/Centerline/centerline_weld.src</t>
        </is>
      </c>
      <c r="H68" s="7"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68" s="7" t="inlineStr">
        <is>
          <t>F12, F11, F35</t>
        </is>
      </c>
      <c r="J68" s="9" t="inlineStr">
        <is>
          <t>Reabierto</t>
        </is>
      </c>
      <c r="K68" s="9" t="inlineStr"/>
      <c r="L68" s="9" t="inlineStr"/>
      <c r="M68" s="9" t="inlineStr"/>
      <c r="N68" s="9" t="inlineStr"/>
      <c r="O68" s="10" t="inlineStr">
        <is>
          <t>Reabierto</t>
        </is>
      </c>
      <c r="P68" s="10" t="inlineStr">
        <is>
          <t>2026-10-12</t>
        </is>
      </c>
      <c r="Q68" s="10" t="inlineStr">
        <is>
          <t>Respaldo del 11/10 22:32. Corrección de la auditoría del 10/10: desde ese respaldo doCriticalWZ no se escribe; el submit lo pone en FALSE al arrancar y AutomationCore_BKG está apagado (C01). Es el problema del respaldo original.</t>
        </is>
      </c>
    </row>
    <row r="69">
      <c r="A69" s="6" t="inlineStr">
        <is>
          <t>C20</t>
        </is>
      </c>
      <c r="B69" s="7" t="inlineStr">
        <is>
          <t>Ethos</t>
        </is>
      </c>
      <c r="C69" s="17" t="inlineStr">
        <is>
          <t>-</t>
        </is>
      </c>
      <c r="D69" s="7" t="inlineStr">
        <is>
          <t>Conteo de soldaduras al final del ciclo: #CHECK apagado y WeldNoRequired distinto de 3</t>
        </is>
      </c>
      <c r="E69" s="7" t="inlineStr">
        <is>
          <t>Código + prueba en celda</t>
        </is>
      </c>
      <c r="F69" s="7" t="inlineStr">
        <is>
          <t>Programador robot</t>
        </is>
      </c>
      <c r="G69" s="7" t="inlineStr">
        <is>
          <t>KRC/R1/Program/Centerline/centerline_weld.src, KRC/R1/TP/AutomationCore/automationcoreroutines.src, KRC/R1/TP/AutomationCore/automationcoredata.dat</t>
        </is>
      </c>
      <c r="H69" s="7"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69" s="7" t="inlineStr">
        <is>
          <t>F46, F08, F02, F05</t>
        </is>
      </c>
      <c r="J69" s="9" t="inlineStr">
        <is>
          <t>Abierto</t>
        </is>
      </c>
      <c r="K69" s="9" t="inlineStr"/>
      <c r="L69" s="9" t="inlineStr"/>
      <c r="M69" s="9" t="inlineStr"/>
      <c r="N69" s="9" t="inlineStr"/>
      <c r="O69" s="10" t="inlineStr">
        <is>
          <t>Alta (Ethos)</t>
        </is>
      </c>
      <c r="P69" s="10" t="inlineStr">
        <is>
          <t>2026-10-04</t>
        </is>
      </c>
      <c r="Q69" s="10" t="inlineStr">
        <is>
          <t>Revisión Ethos del respaldo 658424 (v431_03_10_r1.zip del 2026-10-02).</t>
        </is>
      </c>
    </row>
    <row r="70">
      <c r="A70" s="6" t="inlineStr">
        <is>
          <t>C21</t>
        </is>
      </c>
      <c r="B70" s="7" t="inlineStr">
        <is>
          <t>Ethos</t>
        </is>
      </c>
      <c r="C70" s="17" t="inlineStr">
        <is>
          <t>-</t>
        </is>
      </c>
      <c r="D70" s="7" t="inlineStr">
        <is>
          <t>Fallas por mensajes AutomationCore: ningún HALT sin mensaje ni WAIT FOR FALSE</t>
        </is>
      </c>
      <c r="E70" s="7" t="inlineStr">
        <is>
          <t>Código + prueba en celda</t>
        </is>
      </c>
      <c r="F70" s="7" t="inlineStr">
        <is>
          <t>Programador robot</t>
        </is>
      </c>
      <c r="G70" s="7"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70" s="7"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70" s="7" t="inlineStr">
        <is>
          <t>F06, F07, F15</t>
        </is>
      </c>
      <c r="J70" s="9" t="inlineStr">
        <is>
          <t>Abierto</t>
        </is>
      </c>
      <c r="K70" s="9" t="inlineStr"/>
      <c r="L70" s="9" t="inlineStr"/>
      <c r="M70" s="9" t="inlineStr"/>
      <c r="N70" s="9" t="inlineStr"/>
      <c r="O70" s="10" t="inlineStr">
        <is>
          <t>Alta (Ethos)</t>
        </is>
      </c>
      <c r="P70" s="10" t="inlineStr">
        <is>
          <t>2026-10-04</t>
        </is>
      </c>
      <c r="Q70" s="10" t="inlineStr">
        <is>
          <t>Revisión Ethos del respaldo 658424 (v431_03_10_r1.zip del 2026-10-02).</t>
        </is>
      </c>
    </row>
    <row r="71">
      <c r="A71" s="6" t="inlineStr">
        <is>
          <t>C22</t>
        </is>
      </c>
      <c r="B71" s="7" t="inlineStr">
        <is>
          <t>Ethos</t>
        </is>
      </c>
      <c r="C71" s="17" t="inlineStr">
        <is>
          <t>-</t>
        </is>
      </c>
      <c r="D71" s="7" t="inlineStr">
        <is>
          <t>Grippers por inline forms GripperTech</t>
        </is>
      </c>
      <c r="E71" s="7" t="inlineStr">
        <is>
          <t>Código + prueba en celda</t>
        </is>
      </c>
      <c r="F71" s="7" t="inlineStr">
        <is>
          <t>Programador robot / Puesta en marcha</t>
        </is>
      </c>
      <c r="G71" s="7"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71" s="7"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71" s="7" t="inlineStr">
        <is>
          <t>F31, F33, F19</t>
        </is>
      </c>
      <c r="J71" s="9" t="inlineStr">
        <is>
          <t>Abierto</t>
        </is>
      </c>
      <c r="K71" s="9" t="inlineStr"/>
      <c r="L71" s="9" t="inlineStr"/>
      <c r="M71" s="9" t="inlineStr"/>
      <c r="N71" s="9" t="inlineStr"/>
      <c r="O71" s="10" t="inlineStr">
        <is>
          <t>Alta (Ethos)</t>
        </is>
      </c>
      <c r="P71" s="10" t="inlineStr">
        <is>
          <t>2026-10-04</t>
        </is>
      </c>
      <c r="Q71" s="10" t="inlineStr">
        <is>
          <t>Revisión Ethos del respaldo 658424 (v431_03_10_r1.zip del 2026-10-02).</t>
        </is>
      </c>
    </row>
    <row r="72">
      <c r="A72" s="2" t="inlineStr">
        <is>
          <t>C23</t>
        </is>
      </c>
      <c r="B72" s="3" t="inlineStr">
        <is>
          <t>Ethos</t>
        </is>
      </c>
      <c r="C72" s="16" t="inlineStr">
        <is>
          <t>-</t>
        </is>
      </c>
      <c r="D72" s="3" t="inlineStr">
        <is>
          <t>Nombres AutomationCore para la E/S, sin direcciones literales</t>
        </is>
      </c>
      <c r="E72" s="3" t="inlineStr">
        <is>
          <t>Código</t>
        </is>
      </c>
      <c r="F72" s="3" t="inlineStr">
        <is>
          <t>Programador robot</t>
        </is>
      </c>
      <c r="G72" s="3" t="inlineStr">
        <is>
          <t>KRC/R1/Program/Centerline/centerline_weld.src, KRC/R1/Program/Centerline/PRELOAD.src, KRC/R1/Program/Centerline/CENTERLINE_HOME.src, KRC/R1/System/sps.sub, KRC/R1/System/$config.dat, KRC/R1/TP/AutomationCore/automationcoreroutines.dat</t>
        </is>
      </c>
      <c r="H72" s="3" t="inlineStr">
        <is>
          <t>• Se cierra cuando se cierran F17, F29 y F36.</t>
        </is>
      </c>
      <c r="I72" s="3" t="inlineStr">
        <is>
          <t>F17, F29, F36</t>
        </is>
      </c>
      <c r="J72" s="3" t="inlineStr">
        <is>
          <t>Se cierra con otro punto</t>
        </is>
      </c>
      <c r="K72" s="3" t="inlineStr"/>
      <c r="L72" s="3" t="inlineStr"/>
      <c r="M72" s="3" t="inlineStr"/>
      <c r="N72" s="3" t="inlineStr"/>
      <c r="O72" s="3" t="inlineStr">
        <is>
          <t>Alta (Ethos)</t>
        </is>
      </c>
      <c r="P72" s="3" t="inlineStr">
        <is>
          <t>2026-10-04</t>
        </is>
      </c>
      <c r="Q72" s="3" t="inlineStr">
        <is>
          <t>Revisión Ethos del respaldo 658424 (v431_03_10_r1.zip del 2026-10-02).</t>
        </is>
      </c>
    </row>
    <row r="73">
      <c r="A73" s="2" t="inlineStr">
        <is>
          <t>C24</t>
        </is>
      </c>
      <c r="B73" s="3" t="inlineStr">
        <is>
          <t>Ethos</t>
        </is>
      </c>
      <c r="C73" s="16" t="inlineStr">
        <is>
          <t>-</t>
        </is>
      </c>
      <c r="D73" s="3" t="inlineStr">
        <is>
          <t>Los comentarios nombran la señal con su dirección</t>
        </is>
      </c>
      <c r="E73" s="3" t="inlineStr">
        <is>
          <t>Sin acción</t>
        </is>
      </c>
      <c r="F73" s="3" t="inlineStr">
        <is>
          <t>Programador robot</t>
        </is>
      </c>
      <c r="G73" s="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3" s="3" t="inlineStr">
        <is>
          <t>• Toda acción de E/S o espera nueva o cambiada del respaldo tiene en las líneas de arriba un comentario con dirección y nombre declarado.
• Ningún comentario nuevo o cambiado escribe '$IN/$OUT[n] nombre' con un nombre no declarado en ese índice.</t>
        </is>
      </c>
      <c r="I73" s="3" t="inlineStr"/>
      <c r="J73" s="3" t="inlineStr">
        <is>
          <t>Cerrado - depuración</t>
        </is>
      </c>
      <c r="K73" s="3" t="inlineStr"/>
      <c r="L73" s="3" t="inlineStr"/>
      <c r="M73" s="3" t="inlineStr"/>
      <c r="N73" s="3" t="inlineStr"/>
      <c r="O73" s="3" t="inlineStr">
        <is>
          <t>Nota</t>
        </is>
      </c>
      <c r="P73" s="3" t="inlineStr">
        <is>
          <t>2026-10-13</t>
        </is>
      </c>
      <c r="Q73" s="3" t="inlineStr">
        <is>
          <t>Respaldo del 13/10 07:32. El programador simplificó los comentarios de 40 módulos: quitó las notas NOTE/CHECK/WARNING de la versión de oficina (con referencia a puntos) y la mayoría de los comentarios largos que nombraban señal y dirección; dejó comentarios cortos en inglés. El código usa nombres de señal (G12). Sin cambio de código.</t>
        </is>
      </c>
    </row>
    <row r="74">
      <c r="A74" s="2" t="inlineStr">
        <is>
          <t>C25</t>
        </is>
      </c>
      <c r="B74" s="3" t="inlineStr">
        <is>
          <t>Ethos</t>
        </is>
      </c>
      <c r="C74" s="16" t="inlineStr">
        <is>
          <t>-</t>
        </is>
      </c>
      <c r="D74" s="3" t="inlineStr">
        <is>
          <t>Inline forms consistentes con el código</t>
        </is>
      </c>
      <c r="E74" s="3" t="inlineStr">
        <is>
          <t>Código</t>
        </is>
      </c>
      <c r="F74" s="3" t="inlineStr">
        <is>
          <t>Programador robot</t>
        </is>
      </c>
      <c r="G74" s="3"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74" s="3" t="inlineStr">
        <is>
          <t>• Se cierra cuando se cierran F21, F31 y F32.</t>
        </is>
      </c>
      <c r="I74" s="3" t="inlineStr">
        <is>
          <t>F21, F31, F32</t>
        </is>
      </c>
      <c r="J74" s="3" t="inlineStr">
        <is>
          <t>Se cierra con otro punto</t>
        </is>
      </c>
      <c r="K74" s="3" t="inlineStr"/>
      <c r="L74" s="3" t="inlineStr"/>
      <c r="M74" s="3" t="inlineStr"/>
      <c r="N74" s="3" t="inlineStr"/>
      <c r="O74" s="3" t="inlineStr">
        <is>
          <t>Alta (Ethos)</t>
        </is>
      </c>
      <c r="P74" s="3" t="inlineStr">
        <is>
          <t>2026-10-04</t>
        </is>
      </c>
      <c r="Q74" s="3" t="inlineStr">
        <is>
          <t>Revisión Ethos del respaldo 658424 (v431_03_10_r1.zip del 2026-10-02).</t>
        </is>
      </c>
    </row>
    <row r="75">
      <c r="A75" s="2" t="inlineStr">
        <is>
          <t>C26</t>
        </is>
      </c>
      <c r="B75" s="3" t="inlineStr">
        <is>
          <t>Ethos</t>
        </is>
      </c>
      <c r="C75" s="16" t="inlineStr">
        <is>
          <t>-</t>
        </is>
      </c>
      <c r="D75" s="3" t="inlineStr">
        <is>
          <t>Solo inglés en comentarios, títulos de fold y &amp;COMMENT</t>
        </is>
      </c>
      <c r="E75" s="3" t="inlineStr">
        <is>
          <t>Sin acción</t>
        </is>
      </c>
      <c r="F75" s="3" t="inlineStr">
        <is>
          <t>Programador robot</t>
        </is>
      </c>
      <c r="G75" s="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5" s="3"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75" s="3" t="inlineStr"/>
      <c r="J75" s="3" t="inlineStr">
        <is>
          <t>Cerrado - depuración</t>
        </is>
      </c>
      <c r="K75" s="3" t="inlineStr"/>
      <c r="L75" s="3" t="inlineStr"/>
      <c r="M75" s="3" t="inlineStr"/>
      <c r="N75" s="3" t="inlineStr"/>
      <c r="O75" s="3" t="inlineStr">
        <is>
          <t>Alta (Ethos)</t>
        </is>
      </c>
      <c r="P75" s="3" t="inlineStr">
        <is>
          <t>2026-10-04</t>
        </is>
      </c>
      <c r="Q75" s="3" t="inlineStr">
        <is>
          <t>Revisión Ethos del respaldo 658424 (v431_03_10_r1.zip del 2026-10-02).</t>
        </is>
      </c>
    </row>
    <row r="76">
      <c r="A76" s="2" t="inlineStr">
        <is>
          <t>C27</t>
        </is>
      </c>
      <c r="B76" s="3" t="inlineStr">
        <is>
          <t>Ethos</t>
        </is>
      </c>
      <c r="C76" s="16" t="inlineStr">
        <is>
          <t>-</t>
        </is>
      </c>
      <c r="D76" s="3" t="inlineStr">
        <is>
          <t>Proceso controlado por robot no compartido; regla de dos procesos</t>
        </is>
      </c>
      <c r="E76" s="3" t="inlineStr">
        <is>
          <t>Sin acción</t>
        </is>
      </c>
      <c r="F76" s="3" t="inlineStr">
        <is>
          <t>Ethos (Edgar)</t>
        </is>
      </c>
      <c r="G76" s="3" t="inlineStr"/>
      <c r="H76" s="3" t="inlineStr">
        <is>
          <t>• Se reabre solo si R10 pasa de dos procesos o si otro robot empieza a usar el pedestal CenterLine.</t>
        </is>
      </c>
      <c r="I76" s="3" t="inlineStr"/>
      <c r="J76" s="3" t="inlineStr">
        <is>
          <t>No aplica</t>
        </is>
      </c>
      <c r="K76" s="3" t="inlineStr"/>
      <c r="L76" s="3" t="inlineStr"/>
      <c r="M76" s="3" t="inlineStr"/>
      <c r="N76" s="3" t="inlineStr"/>
      <c r="O76" s="3" t="inlineStr">
        <is>
          <t>Alta (Ethos)</t>
        </is>
      </c>
      <c r="P76" s="3" t="inlineStr">
        <is>
          <t>2026-10-04</t>
        </is>
      </c>
      <c r="Q76" s="3" t="inlineStr">
        <is>
          <t>Revisión Ethos del respaldo 658424 (v431_03_10_r1.zip del 2026-10-02).</t>
        </is>
      </c>
    </row>
    <row r="77">
      <c r="A77" s="6" t="inlineStr">
        <is>
          <t>C28</t>
        </is>
      </c>
      <c r="B77" s="7" t="inlineStr">
        <is>
          <t>Ethos</t>
        </is>
      </c>
      <c r="C77" s="17" t="inlineStr">
        <is>
          <t>-</t>
        </is>
      </c>
      <c r="D77" s="7" t="inlineStr">
        <is>
          <t>Ediciones del integrador en archivos del proveedor: listarlas en la entrega</t>
        </is>
      </c>
      <c r="E77" s="7" t="inlineStr">
        <is>
          <t>Procedimiento</t>
        </is>
      </c>
      <c r="F77" s="7" t="inlineStr">
        <is>
          <t>Ethos (Edgar) / Programador robot</t>
        </is>
      </c>
      <c r="G77" s="7"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77" s="7"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77" s="7" t="inlineStr">
        <is>
          <t>F12, F46, C09, C12, C14, C19, C20</t>
        </is>
      </c>
      <c r="J77" s="9" t="inlineStr">
        <is>
          <t>Abierto</t>
        </is>
      </c>
      <c r="K77" s="9" t="inlineStr"/>
      <c r="L77" s="9" t="inlineStr"/>
      <c r="M77" s="9" t="inlineStr"/>
      <c r="N77" s="9" t="inlineStr"/>
      <c r="O77" s="10" t="inlineStr">
        <is>
          <t>Nota</t>
        </is>
      </c>
      <c r="P77" s="10" t="inlineStr">
        <is>
          <t>2026-10-13</t>
        </is>
      </c>
      <c r="Q77" s="10" t="inlineStr">
        <is>
          <t>Respaldo del 13/10 07:32. Ediciones nuevas en archivos de KUKA: tm_bib.dat (iSTOP_TYPE 53 → 20), automationglobalpos.dat (XPOUNCE), ir_stopm.src (solo comentarios de las llamadas de GlueTech apagadas), BrakeTest (solo atributo &amp;ACCESS).</t>
        </is>
      </c>
    </row>
  </sheetData>
  <autoFilter ref="A1:Q77"/>
  <conditionalFormatting sqref="A2:Q77">
    <cfRule type="expression" priority="1" dxfId="0" stopIfTrue="1">
      <formula>OR($J2="Cerrado - auditado",$J2="Cerrado - depuración",$J2="Aceptado sin cambio",$J2="No aplica",$J2="Sin acción - documentado",$J2="Se cierra con otro punto")</formula>
    </cfRule>
  </conditionalFormatting>
  <dataValidations count="1">
    <dataValidation sqref="J2:J77" showDropDown="0" showInputMessage="0" showErrorMessage="1" allowBlank="0" errorTitle="Estado" error="Elige un estado de la lista (hoja Instrucciones)." type="list">
      <formula1>"Abierto,Requiere decisión,En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0" customWidth="1" min="2" max="2"/>
    <col width="12" customWidth="1" min="3" max="3"/>
  </cols>
  <sheetData>
    <row r="1">
      <c r="A1" s="18" t="inlineStr">
        <is>
          <t>Resumen - Puntos de mejora de proceso (no son condición del buy-off)</t>
        </is>
      </c>
    </row>
    <row r="2">
      <c r="A2" s="19" t="inlineStr">
        <is>
          <t>Generado 2026-10-13 06:06 (hora del centro de México)</t>
        </is>
      </c>
    </row>
    <row r="3">
      <c r="A3" s="20" t="inlineStr">
        <is>
          <t>Estado</t>
        </is>
      </c>
      <c r="B3" s="20" t="inlineStr">
        <is>
          <t>Puntos</t>
        </is>
      </c>
    </row>
    <row r="4">
      <c r="A4" s="21" t="inlineStr">
        <is>
          <t>Abierto</t>
        </is>
      </c>
      <c r="B4" s="21">
        <f>COUNTIF('Puntos abiertos'!$J$2:$J$77,A4)</f>
        <v/>
      </c>
    </row>
    <row r="5">
      <c r="A5" s="21" t="inlineStr">
        <is>
          <t>Requiere decisión</t>
        </is>
      </c>
      <c r="B5" s="21">
        <f>COUNTIF('Puntos abiertos'!$J$2:$J$77,A5)</f>
        <v/>
      </c>
    </row>
    <row r="6">
      <c r="A6" s="21" t="inlineStr">
        <is>
          <t>En proceso</t>
        </is>
      </c>
      <c r="B6" s="21">
        <f>COUNTIF('Puntos abiertos'!$J$2:$J$77,A6)</f>
        <v/>
      </c>
    </row>
    <row r="7">
      <c r="A7" s="21" t="inlineStr">
        <is>
          <t>Corregido - por auditar</t>
        </is>
      </c>
      <c r="B7" s="21">
        <f>COUNTIF('Puntos abiertos'!$J$2:$J$77,A7)</f>
        <v/>
      </c>
    </row>
    <row r="8">
      <c r="A8" s="21" t="inlineStr">
        <is>
          <t>Cerrado - auditado</t>
        </is>
      </c>
      <c r="B8" s="21">
        <f>COUNTIF('Puntos abiertos'!$J$2:$J$77,A8)</f>
        <v/>
      </c>
    </row>
    <row r="9">
      <c r="A9" s="21" t="inlineStr">
        <is>
          <t>Reabierto</t>
        </is>
      </c>
      <c r="B9" s="21">
        <f>COUNTIF('Puntos abiertos'!$J$2:$J$77,A9)</f>
        <v/>
      </c>
    </row>
    <row r="10">
      <c r="A10" s="21" t="inlineStr">
        <is>
          <t>Aceptado sin cambio</t>
        </is>
      </c>
      <c r="B10" s="21">
        <f>COUNTIF('Puntos abiertos'!$J$2:$J$77,A10)</f>
        <v/>
      </c>
    </row>
    <row r="11">
      <c r="A11" s="21" t="inlineStr">
        <is>
          <t>Cerrado - depuración</t>
        </is>
      </c>
      <c r="B11" s="21">
        <f>COUNTIF('Puntos abiertos'!$J$2:$J$77,A11)</f>
        <v/>
      </c>
    </row>
    <row r="12">
      <c r="A12" s="21" t="inlineStr">
        <is>
          <t>No aplica</t>
        </is>
      </c>
      <c r="B12" s="21">
        <f>COUNTIF('Puntos abiertos'!$J$2:$J$77,A12)</f>
        <v/>
      </c>
    </row>
    <row r="13">
      <c r="A13" s="21" t="inlineStr">
        <is>
          <t>Sin acción - documentado</t>
        </is>
      </c>
      <c r="B13" s="21">
        <f>COUNTIF('Puntos abiertos'!$J$2:$J$77,A13)</f>
        <v/>
      </c>
    </row>
    <row r="14">
      <c r="A14" s="21" t="inlineStr">
        <is>
          <t>Se cierra con otro punto</t>
        </is>
      </c>
      <c r="B14" s="21">
        <f>COUNTIF('Puntos abiertos'!$J$2:$J$77,A14)</f>
        <v/>
      </c>
    </row>
    <row r="15">
      <c r="A15" s="22" t="inlineStr">
        <is>
          <t>Total</t>
        </is>
      </c>
      <c r="B15" s="22">
        <f>SUM(B4:B14)</f>
        <v/>
      </c>
    </row>
    <row r="17">
      <c r="A17" s="20" t="inlineStr">
        <is>
          <t>Severidad</t>
        </is>
      </c>
      <c r="B17" s="20" t="inlineStr">
        <is>
          <t>Total</t>
        </is>
      </c>
      <c r="C17" s="20" t="inlineStr">
        <is>
          <t>Pendientes</t>
        </is>
      </c>
    </row>
    <row r="18">
      <c r="A18" s="21" t="inlineStr">
        <is>
          <t>Crítico</t>
        </is>
      </c>
      <c r="B18" s="21">
        <f>COUNTIF('Puntos abiertos'!$C$2:$C$77,A18)</f>
        <v/>
      </c>
      <c r="C18" s="21">
        <f>COUNTIFS('Puntos abiertos'!$C$2:$C$77,A18,'Puntos abiertos'!$J$2:$J$77,"Abierto")+COUNTIFS('Puntos abiertos'!$C$2:$C$77,A18,'Puntos abiertos'!$J$2:$J$77,"Requiere decisión")+COUNTIFS('Puntos abiertos'!$C$2:$C$77,A18,'Puntos abiertos'!$J$2:$J$77,"En proceso")+COUNTIFS('Puntos abiertos'!$C$2:$C$77,A18,'Puntos abiertos'!$J$2:$J$77,"Corregido - por auditar")+COUNTIFS('Puntos abiertos'!$C$2:$C$77,A18,'Puntos abiertos'!$J$2:$J$77,"Reabierto")</f>
        <v/>
      </c>
    </row>
    <row r="19">
      <c r="A19" s="21" t="inlineStr">
        <is>
          <t>Alto</t>
        </is>
      </c>
      <c r="B19" s="21">
        <f>COUNTIF('Puntos abiertos'!$C$2:$C$77,A19)</f>
        <v/>
      </c>
      <c r="C19" s="21">
        <f>COUNTIFS('Puntos abiertos'!$C$2:$C$77,A19,'Puntos abiertos'!$J$2:$J$77,"Abierto")+COUNTIFS('Puntos abiertos'!$C$2:$C$77,A19,'Puntos abiertos'!$J$2:$J$77,"Requiere decisión")+COUNTIFS('Puntos abiertos'!$C$2:$C$77,A19,'Puntos abiertos'!$J$2:$J$77,"En proceso")+COUNTIFS('Puntos abiertos'!$C$2:$C$77,A19,'Puntos abiertos'!$J$2:$J$77,"Corregido - por auditar")+COUNTIFS('Puntos abiertos'!$C$2:$C$77,A19,'Puntos abiertos'!$J$2:$J$77,"Reabierto")</f>
        <v/>
      </c>
    </row>
    <row r="20">
      <c r="A20" s="21" t="inlineStr">
        <is>
          <t>Medio</t>
        </is>
      </c>
      <c r="B20" s="21">
        <f>COUNTIF('Puntos abiertos'!$C$2:$C$77,A20)</f>
        <v/>
      </c>
      <c r="C20" s="21">
        <f>COUNTIFS('Puntos abiertos'!$C$2:$C$77,A20,'Puntos abiertos'!$J$2:$J$77,"Abierto")+COUNTIFS('Puntos abiertos'!$C$2:$C$77,A20,'Puntos abiertos'!$J$2:$J$77,"Requiere decisión")+COUNTIFS('Puntos abiertos'!$C$2:$C$77,A20,'Puntos abiertos'!$J$2:$J$77,"En proceso")+COUNTIFS('Puntos abiertos'!$C$2:$C$77,A20,'Puntos abiertos'!$J$2:$J$77,"Corregido - por auditar")+COUNTIFS('Puntos abiertos'!$C$2:$C$77,A20,'Puntos abiertos'!$J$2:$J$77,"Reabierto")</f>
        <v/>
      </c>
    </row>
    <row r="21">
      <c r="A21" s="21" t="inlineStr">
        <is>
          <t>Bajo</t>
        </is>
      </c>
      <c r="B21" s="21">
        <f>COUNTIF('Puntos abiertos'!$C$2:$C$77,A21)</f>
        <v/>
      </c>
      <c r="C21" s="21">
        <f>COUNTIFS('Puntos abiertos'!$C$2:$C$77,A21,'Puntos abiertos'!$J$2:$J$77,"Abierto")+COUNTIFS('Puntos abiertos'!$C$2:$C$77,A21,'Puntos abiertos'!$J$2:$J$77,"Requiere decisión")+COUNTIFS('Puntos abiertos'!$C$2:$C$77,A21,'Puntos abiertos'!$J$2:$J$77,"En proceso")+COUNTIFS('Puntos abiertos'!$C$2:$C$77,A21,'Puntos abiertos'!$J$2:$J$77,"Corregido - por auditar")+COUNTIFS('Puntos abiertos'!$C$2:$C$77,A21,'Puntos abiertos'!$J$2:$J$77,"Reabierto")</f>
        <v/>
      </c>
    </row>
    <row r="23">
      <c r="A23" s="20" t="inlineStr">
        <is>
          <t>Origen</t>
        </is>
      </c>
      <c r="B23" s="20" t="inlineStr">
        <is>
          <t>Total</t>
        </is>
      </c>
      <c r="C23" s="20" t="inlineStr">
        <is>
          <t>Pendientes</t>
        </is>
      </c>
    </row>
    <row r="24">
      <c r="A24" s="21" t="inlineStr">
        <is>
          <t>Gestamp</t>
        </is>
      </c>
      <c r="B24" s="21">
        <f>COUNTIF('Puntos abiertos'!$B$2:$B$77,"Gestamp*")</f>
        <v/>
      </c>
      <c r="C24" s="21">
        <f>COUNTIFS('Puntos abiertos'!$B$2:$B$77,"Gestamp*",'Puntos abiertos'!$J$2:$J$77,"Abierto")+COUNTIFS('Puntos abiertos'!$B$2:$B$77,"Gestamp*",'Puntos abiertos'!$J$2:$J$77,"Requiere decisión")+COUNTIFS('Puntos abiertos'!$B$2:$B$77,"Gestamp*",'Puntos abiertos'!$J$2:$J$77,"En proceso")+COUNTIFS('Puntos abiertos'!$B$2:$B$77,"Gestamp*",'Puntos abiertos'!$J$2:$J$77,"Corregido - por auditar")+COUNTIFS('Puntos abiertos'!$B$2:$B$77,"Gestamp*",'Puntos abiertos'!$J$2:$J$77,"Reabierto")</f>
        <v/>
      </c>
    </row>
    <row r="25">
      <c r="A25" s="21" t="inlineStr">
        <is>
          <t>Ethos</t>
        </is>
      </c>
      <c r="B25" s="21">
        <f>COUNTIF('Puntos abiertos'!$B$2:$B$77,"Ethos*")</f>
        <v/>
      </c>
      <c r="C25" s="21">
        <f>COUNTIFS('Puntos abiertos'!$B$2:$B$77,"Ethos*",'Puntos abiertos'!$J$2:$J$77,"Abierto")+COUNTIFS('Puntos abiertos'!$B$2:$B$77,"Ethos*",'Puntos abiertos'!$J$2:$J$77,"Requiere decisión")+COUNTIFS('Puntos abiertos'!$B$2:$B$77,"Ethos*",'Puntos abiertos'!$J$2:$J$77,"En proceso")+COUNTIFS('Puntos abiertos'!$B$2:$B$77,"Ethos*",'Puntos abiertos'!$J$2:$J$77,"Corregido - por auditar")+COUNTIFS('Puntos abiertos'!$B$2:$B$77,"Ethos*",'Puntos abiertos'!$J$2:$J$77,"Reabierto")</f>
        <v/>
      </c>
    </row>
    <row r="26">
      <c r="A26" s="21" t="inlineStr">
        <is>
          <t>Calvin (Ethos)</t>
        </is>
      </c>
      <c r="B26" s="21">
        <f>COUNTIF('Puntos abiertos'!$B$2:$B$77,"Calvin*")</f>
        <v/>
      </c>
      <c r="C26" s="21">
        <f>COUNTIFS('Puntos abiertos'!$B$2:$B$77,"Calvin*",'Puntos abiertos'!$J$2:$J$77,"Abierto")+COUNTIFS('Puntos abiertos'!$B$2:$B$77,"Calvin*",'Puntos abiertos'!$J$2:$J$77,"Requiere decisión")+COUNTIFS('Puntos abiertos'!$B$2:$B$77,"Calvin*",'Puntos abiertos'!$J$2:$J$77,"En proceso")+COUNTIFS('Puntos abiertos'!$B$2:$B$77,"Calvin*",'Puntos abiertos'!$J$2:$J$77,"Corregido - por auditar")+COUNTIFS('Puntos abiertos'!$B$2:$B$77,"Calvin*",'Puntos abiertos'!$J$2:$J$77,"Reabierto")</f>
        <v/>
      </c>
    </row>
    <row r="28">
      <c r="A28" s="19" t="inlineStr">
        <is>
          <t>Pendientes = Abierto, Requiere decisión,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20" customWidth="1" min="1" max="1"/>
  </cols>
  <sheetData>
    <row r="1">
      <c r="A1" s="23" t="inlineStr">
        <is>
          <t>Esta lista: mejora de proceso</t>
        </is>
      </c>
    </row>
    <row r="2">
      <c r="A2" s="24" t="inlineStr">
        <is>
          <t>Puntos de la revisión de Ethos que no son condición del buy-off: se trabajan cuando haya tiempo, después de los puntos de Gestamp (lista R10_Gestamp_Puntos). Conservan la numeración del R20 (F37 no aplica en el R10; F44 en adelante son solo del R10). Los que Calvin también señaló dicen "Calvin #n" en Origen.</t>
        </is>
      </c>
    </row>
    <row r="3">
      <c r="A3" s="24" t="inlineStr"/>
    </row>
    <row r="4">
      <c r="A4" s="23" t="inlineStr">
        <is>
          <t>Cómo usar esta lista</t>
        </is>
      </c>
    </row>
    <row r="5">
      <c r="A5" s="24" t="inlineStr">
        <is>
          <t>1. Trabaja los puntos en el programa del robot. Respeta docs/CONVENTIONS.md del repositorio: comentarios en inglés con la señal nombrada ($OUT[n] nombre), sin código comentado, sin reabrir inline forms que tengan líneas escritas a mano.</t>
        </is>
      </c>
    </row>
    <row r="6">
      <c r="A6" s="24" t="inlineStr">
        <is>
          <t>2. En la hoja "Puntos abiertos" llena SOLO las columnas amarillas de los puntos que trabajaste: Estado, Qué cambió el programador, Módulos modificados, Evidencia / prueba en celda, Fecha programador.</t>
        </is>
      </c>
    </row>
    <row r="7">
      <c r="A7" s="24" t="inlineStr">
        <is>
          <t>3. Estado: pon "En proceso" si empezaste y no está listo, o "Corregido - por auditar" si el cambio está hecho y probado. No pongas Cerrado: lo pone la auditoría.</t>
        </is>
      </c>
    </row>
    <row r="8">
      <c r="A8" s="24" t="inlineStr">
        <is>
          <t>4. La evidencia es lo que pide el criterio de cierre: prueba en celda con fecha y resultado, valor leído en el smartPAD, documento de Gestamp. Sin evidencia el punto se reabre.</t>
        </is>
      </c>
    </row>
    <row r="9">
      <c r="A9" s="24" t="inlineStr">
        <is>
          <t>5. Al final del día saca un respaldo completo del robot (Archive → All), nómbralo 658424_AAAA-MM-DD_HHMM.zip con la hora en que lo sacaste, y envíalo junto con las dos listas (R10_Gestamp_Puntos y R10_Mejora_Puntos), cada una guardada con la fecha y hora del día. No borres filas ni cambies las columnas blancas o grises.</t>
        </is>
      </c>
    </row>
    <row r="10">
      <c r="A10" s="24" t="inlineStr"/>
    </row>
    <row r="11">
      <c r="A11" s="23" t="inlineStr">
        <is>
          <t>Ejemplo de una fila llenada (formato esperado)</t>
        </is>
      </c>
    </row>
    <row r="12">
      <c r="A12" s="24" t="inlineStr">
        <is>
          <t>Estado: Corregido - por auditar</t>
        </is>
      </c>
    </row>
    <row r="13">
      <c r="A13" s="24" t="inlineStr">
        <is>
          <t>Qué cambió el programador: style1app1opt1..3: espera supervisada antes del LIN de aproximación (gun open LPT &gt; 120000, $IN[466], $IN[482], NOT $IN[470]) con $TIMER[21] 3 s, mensaje y do004ProcessFault. PRELOAD paso 20 ahora espera $IN[482].</t>
        </is>
      </c>
    </row>
    <row r="14">
      <c r="A14" s="24" t="inlineStr">
        <is>
          <t>Módulos modificados: style1app1opt1.src ... style1app1opt3.src, PRELOAD.src</t>
        </is>
      </c>
    </row>
    <row r="15">
      <c r="A15" s="24" t="inlineStr">
        <is>
          <t>Evidencia / prueba en celda: 2026-10-06, T1 50 %: clamp cerrado a mano, el robot se detuvo antes de P22 con mensaje; con todo abierto el ciclo siguió normal. 3 ciclos en automático OK.</t>
        </is>
      </c>
    </row>
    <row r="16">
      <c r="A16" s="24" t="inlineStr">
        <is>
          <t>Fecha programador: 2026-10-06</t>
        </is>
      </c>
    </row>
    <row r="17">
      <c r="A17" s="24" t="inlineStr"/>
    </row>
    <row r="18">
      <c r="A18" s="23" t="inlineStr">
        <is>
          <t>Base</t>
        </is>
      </c>
    </row>
    <row r="19">
      <c r="A19" s="24" t="inlineStr">
        <is>
          <t>Desde el 2026-10-11 la base es tu programa: no se carga ninguna versión de oficina. Cada respaldo se audita contra el anterior. En los puntos que la oficina había corregido, la Nota auditoría dice qué le falta a tu programa; el PDF y docs/OPEN_ITEMS.es.md traen qué hacer y, como referencia, cómo lo resolvió la oficina.</t>
        </is>
      </c>
    </row>
    <row r="20">
      <c r="A20" s="24" t="inlineStr">
        <is>
          <t>Fila completa en verde: punto cerrado (Cerrado, Aceptado sin cambio, No aplica, Sin acción o Se cierra con otro punto), aunque sea crítico. No hay que hacer nada en esas filas.</t>
        </is>
      </c>
    </row>
    <row r="21">
      <c r="A21" s="24" t="inlineStr">
        <is>
          <t>Las anotaciones que Edgar acuerda con el programador van en la columna "Qué cambió el programador".</t>
        </is>
      </c>
    </row>
    <row r="22">
      <c r="A22" s="24" t="inlineStr">
        <is>
          <t>Estándar: no se pide más de lo que hace el respaldo de Gestamp NUT07_10R1 (ver la Nota auditoría de cada punto).</t>
        </is>
      </c>
    </row>
    <row r="23">
      <c r="A23" s="24" t="inlineStr"/>
    </row>
    <row r="24">
      <c r="A24" s="23" t="inlineStr">
        <is>
          <t>Estados</t>
        </is>
      </c>
    </row>
    <row r="25">
      <c r="A25" s="21" t="inlineStr">
        <is>
          <t>Abierto: Pendiente de trabajar.</t>
        </is>
      </c>
    </row>
    <row r="26">
      <c r="A26" s="21" t="inlineStr">
        <is>
          <t>Requiere decisión: Falta información o decisión (Gestamp, seguridad, Ethos) antes de programar.</t>
        </is>
      </c>
    </row>
    <row r="27">
      <c r="A27" s="21" t="inlineStr">
        <is>
          <t>En proceso: Lo pone el programador: trabajo empezado.</t>
        </is>
      </c>
    </row>
    <row r="28">
      <c r="A28" s="21" t="inlineStr">
        <is>
          <t>Corregido - por auditar: Lo pone el programador: cambio hecho y probado, pide auditoría.</t>
        </is>
      </c>
    </row>
    <row r="29">
      <c r="A29" s="21" t="inlineStr">
        <is>
          <t>Cerrado - auditado: Lo pone la auditoría: cumple el criterio de cierre en el respaldo.</t>
        </is>
      </c>
    </row>
    <row r="30">
      <c r="A30" s="21" t="inlineStr">
        <is>
          <t>Reabierto: Lo pone la auditoría: no se encontró el cambio o no cumple (ver Nota auditoría).</t>
        </is>
      </c>
    </row>
    <row r="31">
      <c r="A31" s="21" t="inlineStr">
        <is>
          <t>Aceptado sin cambio: Ethos / Gestamp decidieron no corregir; queda la razón.</t>
        </is>
      </c>
    </row>
    <row r="32">
      <c r="A32" s="21" t="inlineStr">
        <is>
          <t>Cerrado - depuración: Resuelto por la depuración del 2026-10-04.</t>
        </is>
      </c>
    </row>
    <row r="33">
      <c r="A33" s="21" t="inlineStr">
        <is>
          <t>No aplica: El punto ya cumple.</t>
        </is>
      </c>
    </row>
    <row r="34">
      <c r="A34" s="21" t="inlineStr">
        <is>
          <t>Sin acción - documentado: Se deja como está; la nota dice cuándo se reabriría.</t>
        </is>
      </c>
    </row>
    <row r="35">
      <c r="A35" s="21" t="inlineStr">
        <is>
          <t>Se cierra con otro punto: Duplica otro punto (columna Depende de); se cierra con él.</t>
        </is>
      </c>
    </row>
    <row r="37">
      <c r="A37" s="25"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6" t="inlineStr">
        <is>
          <t>Fecha auditoría</t>
        </is>
      </c>
      <c r="B1" s="26" t="inlineStr">
        <is>
          <t>Respaldo</t>
        </is>
      </c>
      <c r="C1" s="26" t="inlineStr">
        <is>
          <t>Cerrados</t>
        </is>
      </c>
      <c r="D1" s="26" t="inlineStr">
        <is>
          <t>Reabiertos</t>
        </is>
      </c>
      <c r="E1" s="26" t="inlineStr">
        <is>
          <t>Cambios de código</t>
        </is>
      </c>
      <c r="F1" s="26" t="inlineStr">
        <is>
          <t>Notas</t>
        </is>
      </c>
    </row>
    <row r="2">
      <c r="A2" s="21" t="inlineStr">
        <is>
          <t>2026-10-04</t>
        </is>
      </c>
      <c r="B2" s="21" t="inlineStr">
        <is>
          <t>658424_R10 (versión de oficina, tools/build_archive.py)</t>
        </is>
      </c>
      <c r="C2" s="21" t="n">
        <v>0</v>
      </c>
      <c r="D2" s="21" t="n">
        <v>0</v>
      </c>
      <c r="E2" s="21" t="inlineStr">
        <is>
          <t>12 módulos con cambios de lógica, 8 equivalentes tras renombres, 1 borrado (centerline_loop.src), 2 movidos (Styles/optiones → Styles/Options), 104 idénticos (tools/check_equivalence.py contra la base fb8a4c8)</t>
        </is>
      </c>
      <c r="F2" s="21"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1" t="inlineStr">
        <is>
          <t>2026-10-05</t>
        </is>
      </c>
      <c r="B3" s="21" t="inlineStr">
        <is>
          <t>bmw_03_10_r1.zip (am.ini 2026-10-05 09:43, robot BMW_03_10_R1, serie 658424)</t>
        </is>
      </c>
      <c r="C3" s="21" t="n">
        <v>0</v>
      </c>
      <c r="D3" s="21" t="n">
        <v>0</v>
      </c>
      <c r="E3" s="21" t="inlineStr">
        <is>
          <t>62 archivos cambiados, 7 agregados (GUN_OPEN_CHECK, proyecto WorkVisual BMW-03-10R1_v8), 39 KRL con cambios de código (-230/+1323 líneas) contra el estado auditado (b5a8803)</t>
        </is>
      </c>
      <c r="F3" s="21"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1" t="inlineStr">
        <is>
          <t>2026-10-05</t>
        </is>
      </c>
      <c r="B4" s="21" t="inlineStr">
        <is>
          <t>658424_R10_2026-10-05_0819.zip (versión integrada, armada sobre bmw_03_10_r1.zip)</t>
        </is>
      </c>
      <c r="C4" s="21" t="n">
        <v>0</v>
      </c>
      <c r="D4" s="21" t="n">
        <v>0</v>
      </c>
      <c r="E4" s="21" t="inlineStr">
        <is>
          <t>Contra la depuración fb8a4c8: 26 KRL con cambios de código, 2 módulos nuevos (GUN_OPEN_CHECK.src/.dat), 22 archivos fuera; contra el repositorio: idéntico (308 entradas). audit_backup: 0 FAIL, 0 WARN.</t>
        </is>
      </c>
      <c r="F4" s="21"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1" t="inlineStr">
        <is>
          <t>2026-10-05</t>
        </is>
      </c>
      <c r="B5" s="21" t="inlineStr">
        <is>
          <t>bmw_03_10_r1.zip (am.ini 2026-10-05 14:46)</t>
        </is>
      </c>
      <c r="C5" s="21" t="n">
        <v>0</v>
      </c>
      <c r="D5" s="21" t="n">
        <v>0</v>
      </c>
      <c r="E5" s="21"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1"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1" t="inlineStr">
        <is>
          <t>2026-10-05</t>
        </is>
      </c>
      <c r="B6" s="21" t="inlineStr">
        <is>
          <t>R10_paquete_2026-10-05_1351.zip (versión integrada sobre el respaldo de las 14:46; zip completo 658424_R10_2026-10-05_1351)</t>
        </is>
      </c>
      <c r="C6" s="21" t="n">
        <v>0</v>
      </c>
      <c r="D6" s="21" t="n">
        <v>0</v>
      </c>
      <c r="E6" s="21" t="inlineStr">
        <is>
          <t>Contra el respaldo de las 14:46: 57 programas a reemplazar, 2 a agregar (Styles/Options), 24 a borrar. Contra la depuración fb8a4c8: 38 KRL con cambios de código; audit_backup 0 FAIL, 0 WARN; zip idéntico al repositorio.</t>
        </is>
      </c>
      <c r="F6" s="21"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21" t="inlineStr">
        <is>
          <t>2026-10-07</t>
        </is>
      </c>
      <c r="B7" s="21" t="inlineStr">
        <is>
          <t>R10_paquete_2026-10-07_1341.zip (etapa 1 de tiempo ciclo sobre el respaldo de las 14:46 del 2026-10-05; incluye todo el paquete del 2026-10-05; zip completo 658424_R10_2026-10-07_1340)</t>
        </is>
      </c>
      <c r="C7" s="21" t="n">
        <v>0</v>
      </c>
      <c r="D7" s="21" t="n">
        <v>0</v>
      </c>
      <c r="E7" s="21"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21"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row r="8">
      <c r="A8" s="21" t="inlineStr">
        <is>
          <t>2026-10-11</t>
        </is>
      </c>
      <c r="B8" s="21" t="inlineStr">
        <is>
          <t>bmw_03_10_r1.zip del 2026-10-05 14:46 (sin respaldo nuevo): pasa a ser la base, commit 468e29f</t>
        </is>
      </c>
      <c r="C8" s="21" t="n">
        <v>0</v>
      </c>
      <c r="D8" s="21" t="n">
        <v>0</v>
      </c>
      <c r="E8" s="21" t="inlineStr">
        <is>
          <t>Cambio de base por decisión de Edgar (igual que R20): el programa del programador es el estado auditado, importado byte por byte; la versión de oficina queda en 84442ac como referencia. La auditoría de su respaldo contra la nueva base: 336 entradas sin cambio, 0 FAIL, 0 WARN.</t>
        </is>
      </c>
      <c r="F8" s="21" t="inlineStr">
        <is>
          <t>Los 16 puntos 'Corregido en oficina' se revisaron contra su programa (G11 cerrado; F30 en proceso; G04, F24, F28 y F32 se cierran con otro punto; el resto abierto). Estándar de Gestamp NUT07_10R1 aplicado por analogía con R20 (G08, G09, G18, F08, F49 y C12 aceptados sin cambio; C01 y C19 cerrados; G10, F02 y C14 con otro punto). Los 12 módulos sobrantes se siguen solo en G05. Registro en audits/2026-10-11_estandar_gestamp.</t>
        </is>
      </c>
    </row>
    <row r="9">
      <c r="A9" s="21" t="inlineStr">
        <is>
          <t>2026-10-11</t>
        </is>
      </c>
      <c r="B9" s="21" t="inlineStr">
        <is>
          <t>V431_03_WINDOWS-2CPT70E_BMW_03_10_R1_658424.zip (am.ini 2026-10-10 21:20, robot BMW_03_10_R1, serie 658424, KSS 8.3.29); importado byte por byte en cd17b34</t>
        </is>
      </c>
      <c r="C9" s="21" t="n">
        <v>10</v>
      </c>
      <c r="D9" s="21" t="n">
        <v>0</v>
      </c>
      <c r="E9" s="21" t="inlineStr">
        <is>
          <t>Contra su respaldo del 05/10 14:46: 90 archivos cambiados, 3 agregados, 19 faltantes (14 de los 8 módulos sobrantes que borró y 5 de proyectos WorkVisual), 51 KRL con cambios de código (-1562/+931). Es la versión de oficina del 05/10 cargada más sus cambios del 06 al 10/10. audit_backup: 12 FAIL revisados (2 falsas alarmas del auditor: forms OUT con el nombre de la señal y NUT_WELD_RETRY declarado en gun_open_check.dat; 1 real: redrabbit.dat sobrante ya no compila).</t>
        </is>
      </c>
      <c r="F9" s="21" t="inlineStr">
        <is>
          <t>Cerrados: G12, G13, G14, G15, G16, G17, G20, F01, F20 y F36. En proceso: G03/C08 (carga de 67.28 kg, falta la evidencia) y F12. F53 nuevo (pre-alimentación y tuerca pedida con la pieza en la pistola) aceptado como R20 F51. Midió con sus timers CT_*: 4.0 s dentro de la pistola por tuerca, 6.7 s tuerca a tuerca, 0.56 s de espera de tuerca por pieza. Riesgos: ventana de pistola de 150 ms (Gestamp 200), NUT_READY no se borra al soldar, tuerca confirmada por tiempo (5 s), cámara con 2.0 s fijos, F48/F50 sin cambio. Entrega de esperas del PLC en entregas/2026-10-11_F52_esperas_PLC. Registro en audits/2026-10-10_21-20-39.</t>
        </is>
      </c>
    </row>
    <row r="10">
      <c r="A10" s="21" t="inlineStr">
        <is>
          <t>2026-10-12</t>
        </is>
      </c>
      <c r="B10" s="21" t="inlineStr">
        <is>
          <t>BMW_03_WINDOWS-2CPT70E_BMW_03_10_R1_658424.zip (am.ini 2026-10-11 22:32, robot BMW_03_10_R1, serie 658424, KSS 8.3.29); importado byte por byte en 8cb5c7a</t>
        </is>
      </c>
      <c r="C10" s="21" t="n">
        <v>0</v>
      </c>
      <c r="D10" s="21" t="n">
        <v>3</v>
      </c>
      <c r="E10" s="21" t="inlineStr">
        <is>
          <t>Contra su respaldo del 10/10 21:20: 39 archivos cambiados, 1 agregado, 10 KRL con cambios de código (-38/+70): cámara, PRELOAD, apertura de pistola, sps.sub (NutWeld_BKG activo, robot en repair), pick red rabbit y NutWeld de KUKA. audit_backup: 0 FAIL, 19 WARN (17 líneas de código comentado en sps.sub, señales sin comentario).</t>
        </is>
      </c>
      <c r="F10" s="21" t="inlineStr">
        <is>
          <t>Reabiertos C01, C19 y C14: corrección de la auditoría del 10/10, AutomationCore_BKG está apagado desde que cargó la versión de oficina. F54 nuevo: confirmar que la cámara no da el resultado de la pieza anterior. Cámara sin la espera fija de 2.0 s; pre-alimentación de 2 s y WAIT SEC 0.2 al abrir la pistola, como R20. Tiempo de ciclo de AutomationCore: 50 s (05/10), 39 s (10/10), 26 s (11/10, ciclo sin soldar). Registro en audits/2026-10-11_22-32-16.</t>
        </is>
      </c>
    </row>
    <row r="11">
      <c r="A11" s="21" t="inlineStr">
        <is>
          <t>2026-10-13</t>
        </is>
      </c>
      <c r="B11" s="21" t="inlineStr">
        <is>
          <t>BMW_03_WINDOWS-2CPT70E_BMW_03_10_R1_658424.zip (am.ini 2026-10-13 07:32, robot BMW_03_10_R1, serie 658424, KSS 8.3.29); importado byte por byte en 6e70821</t>
        </is>
      </c>
      <c r="C11" s="21" t="n">
        <v>3</v>
      </c>
      <c r="D11" s="21" t="n">
        <v>0</v>
      </c>
      <c r="E11" s="21" t="inlineStr">
        <is>
          <t>Contra su respaldo del 11/10 22:32: 54 archivos cambiados, 3 KRL con cambios de código (-6/+28: GUN_OPEN_LOST, tm_bib.dat, XPOUNCE) y 40 con cambios solo de comentarios (simplificó los comentarios de la versión de oficina y quitó el código comentado). audit_backup: 0 FAIL, 1 WARN.</t>
        </is>
      </c>
      <c r="F11" s="21" t="inlineStr">
        <is>
          <t>Cerrados: G01 y C02 (decisión de Edgar; el nombre queda BMW_03_10_R1) y G02 (capturas del 12/10: herramienta de seguridad EOAT 1 GE4-001 con TCP 0/0/380.8 igual a TOOL_DATA[1]; falta el checklist de aceptación firmado, ítem 40 del workbook). GUN_OPEN_LOST ya no frena con caídas cortas de señal (F01). Sin soldaduras registradas desde el 10/10. Entrega de esperas del PLC obsoleta. Registro en audits/2026-10-13_07-32-17.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2026-10-13T12:06:36Z</dcterms:created>
  <dcterms:modified xsi:type="dcterms:W3CDTF">2026-10-13T12:06:36Z</dcterms:modified>
</cp:coreProperties>
</file>