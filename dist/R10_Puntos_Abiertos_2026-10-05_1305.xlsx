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ntos abiertos" sheetId="1" state="visible" r:id="rId1"/>
    <sheet name="Resumen" sheetId="2" state="visible" r:id="rId2"/>
    <sheet name="Instrucciones" sheetId="3" state="visible" r:id="rId3"/>
    <sheet name="Historial" sheetId="4" state="visible" r:id="rId4"/>
  </sheets>
  <definedNames>
    <definedName name="_xlnm._FilterDatabase" localSheetId="0" hidden="1">'Puntos abiertos'!$A$1:$Q$101</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9"/>
    </font>
    <font>
      <name val="Arial"/>
      <b val="1"/>
      <color rgb="001F2933"/>
      <sz val="9"/>
    </font>
    <font>
      <name val="Arial"/>
      <color rgb="001F2933"/>
      <sz val="9"/>
    </font>
    <font>
      <name val="Arial"/>
      <color rgb="00A16207"/>
      <sz val="9"/>
    </font>
    <font>
      <name val="Arial"/>
      <color rgb="00C4561D"/>
      <sz val="9"/>
    </font>
    <font>
      <name val="Arial"/>
      <color rgb="0052606D"/>
      <sz val="9"/>
    </font>
    <font>
      <name val="Arial"/>
      <color rgb="00B42318"/>
      <sz val="9"/>
    </font>
    <font>
      <name val="Arial"/>
      <color rgb="009AA5B1"/>
      <sz val="9"/>
    </font>
    <font>
      <name val="Arial"/>
      <b val="1"/>
      <color rgb="001D4E89"/>
      <sz val="12"/>
    </font>
    <font>
      <name val="Arial"/>
      <i val="1"/>
      <color rgb="00616E7C"/>
      <sz val="8"/>
    </font>
    <font>
      <name val="Arial"/>
      <b val="1"/>
      <sz val="9"/>
    </font>
    <font>
      <name val="Arial"/>
      <sz val="9"/>
    </font>
    <font>
      <name val="Arial"/>
      <b val="1"/>
      <color rgb="001D4E89"/>
      <sz val="10"/>
    </font>
    <font>
      <name val="Arial"/>
      <i val="1"/>
      <sz val="9"/>
    </font>
  </fonts>
  <fills count="7">
    <fill>
      <patternFill/>
    </fill>
    <fill>
      <patternFill patternType="gray125"/>
    </fill>
    <fill>
      <patternFill patternType="solid">
        <fgColor rgb="001D4E89"/>
      </patternFill>
    </fill>
    <fill>
      <patternFill patternType="solid">
        <fgColor rgb="00DCEBFA"/>
      </patternFill>
    </fill>
    <fill>
      <patternFill patternType="solid">
        <fgColor rgb="00FFF4C2"/>
      </patternFill>
    </fill>
    <fill>
      <patternFill patternType="solid">
        <fgColor rgb="00E4E7EB"/>
      </patternFill>
    </fill>
    <fill>
      <patternFill patternType="solid">
        <fgColor rgb="00C6EFCE"/>
      </patternFill>
    </fill>
  </fills>
  <borders count="2">
    <border>
      <left/>
      <right/>
      <top/>
      <bottom/>
      <diagonal/>
    </border>
    <border>
      <left style="thin">
        <color rgb="00CBD2D9"/>
      </left>
      <right style="thin">
        <color rgb="00CBD2D9"/>
      </right>
      <top style="thin">
        <color rgb="00CBD2D9"/>
      </top>
      <bottom style="thin">
        <color rgb="00CBD2D9"/>
      </bottom>
    </border>
  </borders>
  <cellStyleXfs count="1">
    <xf numFmtId="0" fontId="0" fillId="0" borderId="0"/>
  </cellStyleXfs>
  <cellXfs count="26">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2" fillId="0" borderId="1" applyAlignment="1" pivotButton="0" quotePrefix="0" xfId="0">
      <alignment vertical="top" wrapText="1"/>
    </xf>
    <xf numFmtId="0" fontId="7" fillId="0"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8" fillId="6" borderId="1" applyAlignment="1" pivotButton="0" quotePrefix="0" xfId="0">
      <alignment vertical="top" wrapText="1"/>
    </xf>
    <xf numFmtId="0" fontId="6" fillId="6"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10" fillId="0" borderId="0" pivotButton="0" quotePrefix="0" xfId="0"/>
    <xf numFmtId="0" fontId="11" fillId="5" borderId="0" pivotButton="0" quotePrefix="0" xfId="0"/>
    <xf numFmtId="0" fontId="12" fillId="0" borderId="0" pivotButton="0" quotePrefix="0" xfId="0"/>
    <xf numFmtId="0" fontId="11" fillId="0" borderId="0" pivotButton="0" quotePrefix="0" xfId="0"/>
    <xf numFmtId="0" fontId="13" fillId="0" borderId="0" applyAlignment="1" pivotButton="0" quotePrefix="0" xfId="0">
      <alignment vertical="top" wrapText="1"/>
    </xf>
    <xf numFmtId="0" fontId="3" fillId="0" borderId="0" applyAlignment="1" pivotButton="0" quotePrefix="0" xfId="0">
      <alignment vertical="top" wrapText="1"/>
    </xf>
    <xf numFmtId="0" fontId="14" fillId="0" borderId="0" pivotButton="0" quotePrefix="0" xfId="0"/>
    <xf numFmtId="0" fontId="1" fillId="2" borderId="0" pivotButton="0" quotePrefix="0" xfId="0"/>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Ethos</author>
  </authors>
  <commentList>
    <comment ref="J1" authorId="0" shapeId="0">
      <text>
        <t>El programador solo pone En proceso o Corregido - por auditar. Cerrado lo pone la auditoría.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101"/>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8" customWidth="1" min="3" max="3"/>
    <col width="46" customWidth="1" min="4" max="4"/>
    <col width="18" customWidth="1" min="5" max="5"/>
    <col width="18" customWidth="1" min="6" max="6"/>
    <col width="28" customWidth="1" min="7" max="7"/>
    <col width="70" customWidth="1" min="8" max="8"/>
    <col width="12" customWidth="1" min="9" max="9"/>
    <col width="22" customWidth="1" min="10" max="10"/>
    <col width="50" customWidth="1" min="11" max="11"/>
    <col width="28" customWidth="1" min="12" max="12"/>
    <col width="40" customWidth="1" min="13" max="13"/>
    <col width="13" customWidth="1" min="14" max="14"/>
    <col width="20" customWidth="1" min="15" max="15"/>
    <col width="13" customWidth="1" min="16" max="16"/>
    <col width="50" customWidth="1" min="17" max="17"/>
  </cols>
  <sheetData>
    <row r="1">
      <c r="A1" s="1" t="inlineStr">
        <is>
          <t>ID</t>
        </is>
      </c>
      <c r="B1" s="1" t="inlineStr">
        <is>
          <t>Origen</t>
        </is>
      </c>
      <c r="C1" s="1" t="inlineStr">
        <is>
          <t>Sev.</t>
        </is>
      </c>
      <c r="D1" s="1" t="inlineStr">
        <is>
          <t>Punto</t>
        </is>
      </c>
      <c r="E1" s="1" t="inlineStr">
        <is>
          <t>Tipo</t>
        </is>
      </c>
      <c r="F1" s="1" t="inlineStr">
        <is>
          <t>Responsable</t>
        </is>
      </c>
      <c r="G1" s="1" t="inlineStr">
        <is>
          <t>Módulos</t>
        </is>
      </c>
      <c r="H1" s="1" t="inlineStr">
        <is>
          <t>Criterio de cierre</t>
        </is>
      </c>
      <c r="I1" s="1" t="inlineStr">
        <is>
          <t>Depende de</t>
        </is>
      </c>
      <c r="J1" s="1" t="inlineStr">
        <is>
          <t>Estado</t>
        </is>
      </c>
      <c r="K1" s="1" t="inlineStr">
        <is>
          <t>Qué cambió el programador</t>
        </is>
      </c>
      <c r="L1" s="1" t="inlineStr">
        <is>
          <t>Módulos modificados</t>
        </is>
      </c>
      <c r="M1" s="1" t="inlineStr">
        <is>
          <t>Evidencia / prueba en celda</t>
        </is>
      </c>
      <c r="N1" s="1" t="inlineStr">
        <is>
          <t>Fecha programador</t>
        </is>
      </c>
      <c r="O1" s="1" t="inlineStr">
        <is>
          <t>Resultado auditoría</t>
        </is>
      </c>
      <c r="P1" s="1" t="inlineStr">
        <is>
          <t>Fecha auditoría</t>
        </is>
      </c>
      <c r="Q1" s="1" t="inlineStr">
        <is>
          <t>Nota auditoría</t>
        </is>
      </c>
    </row>
    <row r="2">
      <c r="A2" s="2" t="inlineStr">
        <is>
          <t>G01</t>
        </is>
      </c>
      <c r="B2" s="3" t="inlineStr">
        <is>
          <t>Gestamp #1</t>
        </is>
      </c>
      <c r="C2" s="4" t="inlineStr">
        <is>
          <t>Medio</t>
        </is>
      </c>
      <c r="D2" s="3" t="inlineStr">
        <is>
          <t>Cambiar el nombre del robot
Gestamp: "Robot name needs to change"</t>
        </is>
      </c>
      <c r="E2" s="5" t="inlineStr">
        <is>
          <t>Configuración en celda</t>
        </is>
      </c>
      <c r="F2" s="5" t="inlineStr">
        <is>
          <t>Programador robot (en celda) / Gestamp confirma el formato</t>
        </is>
      </c>
      <c r="G2" s="5" t="inlineStr">
        <is>
          <t>am.ini, C/KRC/Roboter/Rdc/RobotData.xml, $ROBNAME (smartHMI)</t>
        </is>
      </c>
      <c r="H2" s="5" t="inlineStr">
        <is>
          <t>• Formato confirmado por Gestamp por escrito (correo adjunto a la lista).
• En el respaldo, am.ini (RobName) y C/KRC/Roboter/Rdc/RobotData.xml (RobotName) traen el nombre nuevo; el nombre del archivo de respaldo también.
• Si el formato confirmado difiere de BMW-03-10-R1, la línea "; Robot 03-10-R1 (...)" de los encabezados se ajusta igual (C02).</t>
        </is>
      </c>
      <c r="I2" s="5" t="inlineStr">
        <is>
          <t>C02</t>
        </is>
      </c>
      <c r="J2" s="6" t="inlineStr">
        <is>
          <t>Abierto</t>
        </is>
      </c>
      <c r="K2" s="6" t="inlineStr"/>
      <c r="L2" s="6" t="inlineStr"/>
      <c r="M2" s="6" t="inlineStr"/>
      <c r="N2" s="6" t="inlineStr"/>
      <c r="O2" s="7" t="inlineStr">
        <is>
          <t>Integrado</t>
        </is>
      </c>
      <c r="P2" s="7" t="inlineStr">
        <is>
          <t>2026-10-05</t>
        </is>
      </c>
      <c r="Q2" s="7" t="inlineStr">
        <is>
          <t>El nombre BMW_03_10_R1 se conserva en la versión integrada. Falta el formato confirmado por Gestamp.</t>
        </is>
      </c>
    </row>
    <row r="3">
      <c r="A3" s="2" t="inlineStr">
        <is>
          <t>G02</t>
        </is>
      </c>
      <c r="B3" s="3" t="inlineStr">
        <is>
          <t>Gestamp #2</t>
        </is>
      </c>
      <c r="C3" s="8" t="inlineStr">
        <is>
          <t>Alto</t>
        </is>
      </c>
      <c r="D3" s="3" t="inlineStr">
        <is>
          <t>Herramienta de seguridad igual al TCP de la herramienta 1
Gestamp: "Safety Tool is not equal to Default TCP"</t>
        </is>
      </c>
      <c r="E3" s="5" t="inlineStr">
        <is>
          <t>Configuración de seguridad</t>
        </is>
      </c>
      <c r="F3" s="5" t="inlineStr">
        <is>
          <t>Programador robot / Seguridad</t>
        </is>
      </c>
      <c r="G3" s="5" t="inlineStr">
        <is>
          <t>C/KRC/Roboter/Config/User/Common/SafetyConfigData.xml, $config.dat (TOOL_DATA[1])</t>
        </is>
      </c>
      <c r="H3" s="5" t="inlineStr">
        <is>
          <t>• Captura de la herramienta de seguridad 1 con el TCP igual a TOOL_DATA[1] del respaldo.
• Checksum nuevo anotado y checklist de aceptación firmado por quien tenga la autorización.</t>
        </is>
      </c>
      <c r="I3" s="5" t="inlineStr">
        <is>
          <t>F42</t>
        </is>
      </c>
      <c r="J3" s="6" t="inlineStr">
        <is>
          <t>Abierto</t>
        </is>
      </c>
      <c r="K3" s="6" t="inlineStr"/>
      <c r="L3" s="6" t="inlineStr"/>
      <c r="M3" s="6" t="inlineStr"/>
      <c r="N3" s="6" t="inlineStr"/>
      <c r="O3" s="7" t="inlineStr">
        <is>
          <t>Alta (Gestamp)</t>
        </is>
      </c>
      <c r="P3" s="7" t="inlineStr">
        <is>
          <t>2026-10-04</t>
        </is>
      </c>
      <c r="Q3" s="7" t="inlineStr">
        <is>
          <t>Punto 2 de la revisión de Gestamp del 2026-10-02 (BMW-03-10R1).</t>
        </is>
      </c>
    </row>
    <row r="4">
      <c r="A4" s="2" t="inlineStr">
        <is>
          <t>G03</t>
        </is>
      </c>
      <c r="B4" s="3" t="inlineStr">
        <is>
          <t>Gestamp #3</t>
        </is>
      </c>
      <c r="C4" s="8" t="inlineStr">
        <is>
          <t>Alto</t>
        </is>
      </c>
      <c r="D4" s="3" t="inlineStr">
        <is>
          <t>Determinar los datos de carga (herramienta 1 con y sin pieza)
Gestamp: "Tool 1 is used without Load data determination"</t>
        </is>
      </c>
      <c r="E4" s="5" t="inlineStr">
        <is>
          <t>Prueba en celda</t>
        </is>
      </c>
      <c r="F4" s="5" t="inlineStr">
        <is>
          <t>Programador robot / Puesta en marcha</t>
        </is>
      </c>
      <c r="G4" s="5" t="inlineStr">
        <is>
          <t>$config.dat (LOAD_DATA[1]), KRC/STEU/Mada/$custom.dat ($LDC_CONFIG[1])</t>
        </is>
      </c>
      <c r="H4" s="5" t="inlineStr">
        <is>
          <t>• LOAD_DATA[1] en $config.dat ya no es {M 210, CM {X 270, Y 0, Z 240}, J {105, 105, 105}}: trae masa, centro de masa e inercias determinados.
• Existe la carga con pieza (si difiere 5 % o más) y los movimientos entre el cierre del gripper en el pick y su apertura en drop, drop red rabbit o reject la usan (C08).
• Protocolo de Load Data Determination (captura o archivo) con fecha.</t>
        </is>
      </c>
      <c r="I4" s="5" t="inlineStr">
        <is>
          <t>C08, F39, C09</t>
        </is>
      </c>
      <c r="J4" s="6" t="inlineStr">
        <is>
          <t>Abierto</t>
        </is>
      </c>
      <c r="K4" s="6" t="inlineStr"/>
      <c r="L4" s="6" t="inlineStr"/>
      <c r="M4" s="6" t="inlineStr"/>
      <c r="N4" s="6" t="inlineStr"/>
      <c r="O4" s="7" t="inlineStr">
        <is>
          <t>Alta (Gestamp)</t>
        </is>
      </c>
      <c r="P4" s="7" t="inlineStr">
        <is>
          <t>2026-10-04</t>
        </is>
      </c>
      <c r="Q4" s="7" t="inlineStr">
        <is>
          <t>Punto 3 de la revisión de Gestamp del 2026-10-02 (BMW-03-10R1).</t>
        </is>
      </c>
    </row>
    <row r="5">
      <c r="A5" s="2" t="inlineStr">
        <is>
          <t>G04</t>
        </is>
      </c>
      <c r="B5" s="3" t="inlineStr">
        <is>
          <t>Gestamp #4</t>
        </is>
      </c>
      <c r="C5" s="9" t="inlineStr">
        <is>
          <t>Bajo</t>
        </is>
      </c>
      <c r="D5" s="3" t="inlineStr">
        <is>
          <t>Programa RedRabbit bloqueado: borrado
Gestamp: "Program Red Rabbit() is blocked, might be an unnecessary copy"</t>
        </is>
      </c>
      <c r="E5" s="5" t="inlineStr">
        <is>
          <t>Código</t>
        </is>
      </c>
      <c r="F5" s="5" t="inlineStr">
        <is>
          <t>Programador robot (prueba en celda)</t>
        </is>
      </c>
      <c r="G5" s="5" t="inlineStr">
        <is>
          <t>KRC/R1/Program/Utilities/redrabbit.src, KRC/R1/Program/Utilities/RedRabbit.dat</t>
        </is>
      </c>
      <c r="H5" s="5" t="inlineStr">
        <is>
          <t>• En el respaldo no están KRC/R1/Program/Utilities/redrabbit.src ni RedRabbit.dat (borrados también en el controlador).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red rabbit (option 12) corre igual que antes de la carga (sus defectos siguen en F19). Anotar fecha.</t>
        </is>
      </c>
      <c r="I5" s="5" t="inlineStr">
        <is>
          <t>F19</t>
        </is>
      </c>
      <c r="J5" s="6" t="inlineStr">
        <is>
          <t>Corregido en oficina - probar en celda</t>
        </is>
      </c>
      <c r="K5" s="6" t="inlineStr"/>
      <c r="L5" s="6" t="inlineStr"/>
      <c r="M5" s="6" t="inlineStr"/>
      <c r="N5" s="6" t="inlineStr"/>
      <c r="O5" s="7" t="inlineStr">
        <is>
          <t>Integrado - por probar</t>
        </is>
      </c>
      <c r="P5" s="7" t="inlineStr">
        <is>
          <t>2026-10-05</t>
        </is>
      </c>
      <c r="Q5" s="7" t="inlineStr">
        <is>
          <t>Sigue en la versión integrada (658424_R10_2026-10-05_0819.zip, armada sobre el respaldo del programador). Cargarla y hacer la prueba de este punto.</t>
        </is>
      </c>
    </row>
    <row r="6">
      <c r="A6" s="2" t="inlineStr">
        <is>
          <t>G05</t>
        </is>
      </c>
      <c r="B6" s="3" t="inlineStr">
        <is>
          <t>Gestamp #5</t>
        </is>
      </c>
      <c r="C6" s="9" t="inlineStr">
        <is>
          <t>Bajo</t>
        </is>
      </c>
      <c r="D6" s="3" t="inlineStr">
        <is>
          <t>Programas sin uso
Gestamp: "Unused programs"</t>
        </is>
      </c>
      <c r="E6" s="5" t="inlineStr">
        <is>
          <t>Código + configuración</t>
        </is>
      </c>
      <c r="F6" s="5" t="inlineStr">
        <is>
          <t>Programador robot / Gestamp controles</t>
        </is>
      </c>
      <c r="G6" s="5" t="inlineStr">
        <is>
          <t>KRC/R1/Program/Centerline/centerline_loop.src, KRC/R1/safetest.src, KRC/R1/Program/MoveToPurge.src, KRC/R1/TP/GLUETECH, 11 módulos borrados por la depuración (tools/cleanup_allowlist)</t>
        </is>
      </c>
      <c r="H6" s="5" t="inlineStr">
        <is>
          <t>• En el respaldo no están los 11 módulos borrados por la depuración ni KRC/R1/Program/Centerline/centerline_loop.src (borrados también en el controlador: un restore no borra archivos).
• safetest: decisión de Gestamp anotada en la lista; si se borra, no está en el respaldo; si se queda, su encabezado dice para qué prueba es y quién la usa.
• GlueTech desinstalado: no aparece en la lista de paquetes del smartHMI, y ni KRC/R1/TP/GLUETECH ni Program/MoveToPurge.src están en el respaldo.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6" s="5" t="inlineStr">
        <is>
          <t>G04, C28</t>
        </is>
      </c>
      <c r="J6" s="6" t="inlineStr">
        <is>
          <t>Requiere decisión</t>
        </is>
      </c>
      <c r="K6" s="6" t="inlineStr"/>
      <c r="L6" s="6" t="inlineStr"/>
      <c r="M6" s="6" t="inlineStr"/>
      <c r="N6" s="6" t="inlineStr"/>
      <c r="O6" s="7" t="inlineStr">
        <is>
          <t>Auditoría - pendiente</t>
        </is>
      </c>
      <c r="P6" s="7" t="inlineStr">
        <is>
          <t>2026-10-05</t>
        </is>
      </c>
      <c r="Q6" s="7" t="inlineStr">
        <is>
          <t>Los 22 archivos borrados en la depuración siguen en el controlador; dos copias AutoRR fueron editadas (sin uso).</t>
        </is>
      </c>
    </row>
    <row r="7">
      <c r="A7" s="2" t="inlineStr">
        <is>
          <t>G06</t>
        </is>
      </c>
      <c r="B7" s="3" t="inlineStr">
        <is>
          <t>Gestamp #6</t>
        </is>
      </c>
      <c r="C7" s="4" t="inlineStr">
        <is>
          <t>Medio</t>
        </is>
      </c>
      <c r="D7" s="3" t="inlineStr">
        <is>
          <t>Cambio de electrodo: confirmación de 0.1 s y sin handshake
Gestamp: "Electrode change confirmation only 0.1 s, no handshake"</t>
        </is>
      </c>
      <c r="E7" s="5" t="inlineStr">
        <is>
          <t>Decisión + código</t>
        </is>
      </c>
      <c r="F7" s="5" t="inlineStr">
        <is>
          <t>Programador robot / Gestamp controles</t>
        </is>
      </c>
      <c r="G7" s="5" t="inlineStr">
        <is>
          <t>KRC/R1/Program/Utilities/gunelectrodechange.src, KRC/R1/cell.src</t>
        </is>
      </c>
      <c r="H7" s="5" t="inlineStr">
        <is>
          <t>• Se cumplen los criterios de F43.</t>
        </is>
      </c>
      <c r="I7" s="5" t="inlineStr">
        <is>
          <t>F43, F12</t>
        </is>
      </c>
      <c r="J7" s="6" t="inlineStr">
        <is>
          <t>Requiere decisión</t>
        </is>
      </c>
      <c r="K7" s="6" t="inlineStr"/>
      <c r="L7" s="6" t="inlineStr"/>
      <c r="M7" s="6" t="inlineStr"/>
      <c r="N7" s="6" t="inlineStr"/>
      <c r="O7" s="7" t="inlineStr">
        <is>
          <t>Alta (Gestamp)</t>
        </is>
      </c>
      <c r="P7" s="7" t="inlineStr">
        <is>
          <t>2026-10-04</t>
        </is>
      </c>
      <c r="Q7" s="7" t="inlineStr">
        <is>
          <t>Punto 6 de la revisión de Gestamp del 2026-10-02 (BMW-03-10R1).</t>
        </is>
      </c>
    </row>
    <row r="8">
      <c r="A8" s="2" t="inlineStr">
        <is>
          <t>G07</t>
        </is>
      </c>
      <c r="B8" s="3" t="inlineStr">
        <is>
          <t>Gestamp #7</t>
        </is>
      </c>
      <c r="C8" s="8" t="inlineStr">
        <is>
          <t>Alto</t>
        </is>
      </c>
      <c r="D8" s="3" t="inlineStr">
        <is>
          <t>Options 1, 2, 7 y 8 de Style_1 llaman el mismo programa
Gestamp: "Multiple options in Style_1 call the same sub-program"</t>
        </is>
      </c>
      <c r="E8" s="5" t="inlineStr">
        <is>
          <t>Decisión Gestamp + código</t>
        </is>
      </c>
      <c r="F8" s="5" t="inlineStr">
        <is>
          <t>Gestamp controles / Programador robot</t>
        </is>
      </c>
      <c r="G8" s="5" t="inlineStr">
        <is>
          <t>KRC/R1/Program/Styles/style_1.src, KRC/R1/Program/Styles/Options/style1opt1.src, KRC/R1/Program/StyleApps/Options/style1app2opt1.src, KRC/R1/Program/StyleApps/Options/style1app2opt2.src</t>
        </is>
      </c>
      <c r="H8" s="5" t="inlineStr">
        <is>
          <t>• Definición de options por escrito de Gestamp.
• Se cumplen los criterios de F02.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8" s="5" t="inlineStr">
        <is>
          <t>F02</t>
        </is>
      </c>
      <c r="J8" s="6" t="inlineStr">
        <is>
          <t>Requiere decisión</t>
        </is>
      </c>
      <c r="K8" s="6" t="inlineStr"/>
      <c r="L8" s="6" t="inlineStr"/>
      <c r="M8" s="6" t="inlineStr"/>
      <c r="N8" s="6" t="inlineStr"/>
      <c r="O8" s="7" t="inlineStr">
        <is>
          <t>Alta (Gestamp)</t>
        </is>
      </c>
      <c r="P8" s="7" t="inlineStr">
        <is>
          <t>2026-10-04</t>
        </is>
      </c>
      <c r="Q8" s="7" t="inlineStr">
        <is>
          <t>Punto 7 de la revisión de Gestamp del 2026-10-02 (BMW-03-10R1).</t>
        </is>
      </c>
    </row>
    <row r="9">
      <c r="A9" s="2" t="inlineStr">
        <is>
          <t>G08</t>
        </is>
      </c>
      <c r="B9" s="3" t="inlineStr">
        <is>
          <t>Gestamp #8</t>
        </is>
      </c>
      <c r="C9" s="8" t="inlineStr">
        <is>
          <t>Alto</t>
        </is>
      </c>
      <c r="D9" s="3" t="inlineStr">
        <is>
          <t>El ciclo red rabbit no sigue el camino de producción
Gestamp: "Separate Auto-Red Rabbit program that doesn't match production"</t>
        </is>
      </c>
      <c r="E9" s="5" t="inlineStr">
        <is>
          <t>Decisión + código</t>
        </is>
      </c>
      <c r="F9" s="5" t="inlineStr">
        <is>
          <t>Gestamp controles / Programador robot</t>
        </is>
      </c>
      <c r="G9" s="5" t="inlineStr">
        <is>
          <t>KRC/R1/Program/Styles/Options/Style1Opt10AutoRR.src, KRC/R1/Program/StylePicks/Options/style1pick1opt1AutoRR.src, KRC/R1/Program/StyleDrops/Options/style1drop1opt2AutoRR.src</t>
        </is>
      </c>
      <c r="H9" s="5" t="inlineStr">
        <is>
          <t>• Procedimiento red rabbit de Gestamp por escrito.
• Se cumplen los criterios de F19.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9" s="5" t="inlineStr">
        <is>
          <t>F19, G21</t>
        </is>
      </c>
      <c r="J9" s="6" t="inlineStr">
        <is>
          <t>Requiere decisión</t>
        </is>
      </c>
      <c r="K9" s="6" t="inlineStr"/>
      <c r="L9" s="6" t="inlineStr"/>
      <c r="M9" s="6" t="inlineStr"/>
      <c r="N9" s="6" t="inlineStr"/>
      <c r="O9" s="7" t="inlineStr">
        <is>
          <t>Alta (Gestamp)</t>
        </is>
      </c>
      <c r="P9" s="7" t="inlineStr">
        <is>
          <t>2026-10-04</t>
        </is>
      </c>
      <c r="Q9" s="7" t="inlineStr">
        <is>
          <t>Punto 8 de la revisión de Gestamp del 2026-10-02 (BMW-03-10R1).</t>
        </is>
      </c>
    </row>
    <row r="10">
      <c r="A10" s="2" t="inlineStr">
        <is>
          <t>G09</t>
        </is>
      </c>
      <c r="B10" s="3" t="inlineStr">
        <is>
          <t>Gestamp #9</t>
        </is>
      </c>
      <c r="C10" s="4" t="inlineStr">
        <is>
          <t>Medio</t>
        </is>
      </c>
      <c r="D10" s="3" t="inlineStr">
        <is>
          <t>Pieza en gripper al PLC fijada por programa, no por los sensores
Gestamp: "Part control to PLC is set/reset instead of reflecting the real part controls"</t>
        </is>
      </c>
      <c r="E10" s="5" t="inlineStr">
        <is>
          <t>Decisión + código</t>
        </is>
      </c>
      <c r="F10" s="5" t="inlineStr">
        <is>
          <t>Programador robot / Gestamp controles</t>
        </is>
      </c>
      <c r="G10"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KRC/R1/System/sps.sub</t>
        </is>
      </c>
      <c r="H10" s="5" t="inlineStr">
        <is>
          <t>• $OUT[18] se escribe en un solo lugar, a partir de di253/di254; los inline forms OUT 18 de picks, drops y RejectGE4 ya no están.
• Prueba: quitar la pieza a mano del gripper en T1 → $OUT[18] OFF de inmediato; con la pieza tomada → ON. Anotar fecha.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10" s="5" t="inlineStr">
        <is>
          <t>F12, C01, C16</t>
        </is>
      </c>
      <c r="J10" s="6" t="inlineStr">
        <is>
          <t>Requiere decisión</t>
        </is>
      </c>
      <c r="K10" s="6" t="inlineStr"/>
      <c r="L10" s="6" t="inlineStr"/>
      <c r="M10" s="6" t="inlineStr"/>
      <c r="N10" s="6" t="inlineStr"/>
      <c r="O10" s="7" t="inlineStr">
        <is>
          <t>Alta (Gestamp)</t>
        </is>
      </c>
      <c r="P10" s="7" t="inlineStr">
        <is>
          <t>2026-10-04</t>
        </is>
      </c>
      <c r="Q10" s="7" t="inlineStr">
        <is>
          <t>Punto 9 de la revisión de Gestamp del 2026-10-02 (BMW-03-10R1).</t>
        </is>
      </c>
    </row>
    <row r="11">
      <c r="A11" s="2" t="inlineStr">
        <is>
          <t>G10</t>
        </is>
      </c>
      <c r="B11" s="3" t="inlineStr">
        <is>
          <t>Gestamp #10</t>
        </is>
      </c>
      <c r="C11" s="4" t="inlineStr">
        <is>
          <t>Medio</t>
        </is>
      </c>
      <c r="D11" s="3" t="inlineStr">
        <is>
          <t>Comandos de gripper GripperTech en todos los movimientos de gripper
Gestamp: "Gripper commands not used at all times"</t>
        </is>
      </c>
      <c r="E11" s="5" t="inlineStr">
        <is>
          <t>Código + prueba en celda</t>
        </is>
      </c>
      <c r="F11" s="5" t="inlineStr">
        <is>
          <t>Programador robot / Puesta en marcha</t>
        </is>
      </c>
      <c r="G11"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 C/KRC/User/TP/Gripper_SpotTech/GripperConfig.xml</t>
        </is>
      </c>
      <c r="H11" s="5" t="inlineStr">
        <is>
          <t>• Se cumplen los criterios de F31 y F33.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el smartPAD: abrir y confirmar (Cmd OK) un form Gripper SET de un pick y el del drop al conveyor sin cambiar nada; en el respaldo siguiente la llamada sigue siendo GRPg_SetStateAndCheck(1, ...) con el mismo estado. Un ciclo completo en automático de estación 1 y de estación 2. Anotar fecha.</t>
        </is>
      </c>
      <c r="I11" s="5" t="inlineStr">
        <is>
          <t>F31, F33, C22, F40</t>
        </is>
      </c>
      <c r="J11" s="6" t="inlineStr">
        <is>
          <t>Abierto</t>
        </is>
      </c>
      <c r="K11" s="6" t="inlineStr"/>
      <c r="L11" s="6" t="inlineStr"/>
      <c r="M11" s="6" t="inlineStr"/>
      <c r="N11" s="6" t="inlineStr"/>
      <c r="O11" s="7" t="inlineStr">
        <is>
          <t>Alta (Gestamp)</t>
        </is>
      </c>
      <c r="P11" s="7" t="inlineStr">
        <is>
          <t>2026-10-04</t>
        </is>
      </c>
      <c r="Q11" s="7" t="inlineStr">
        <is>
          <t>Punto 10 de la revisión de Gestamp del 2026-10-02 (BMW-03-10R1).</t>
        </is>
      </c>
    </row>
    <row r="12">
      <c r="A12" s="2" t="inlineStr">
        <is>
          <t>G11</t>
        </is>
      </c>
      <c r="B12" s="3" t="inlineStr">
        <is>
          <t>Gestamp #11</t>
        </is>
      </c>
      <c r="C12" s="4" t="inlineStr">
        <is>
          <t>Medio</t>
        </is>
      </c>
      <c r="D12" s="3" t="inlineStr">
        <is>
          <t>Sin GOTO ni etiquetas
Gestamp: "Use of Goto labels"</t>
        </is>
      </c>
      <c r="E12" s="5" t="inlineStr">
        <is>
          <t>Código + prueba en celda</t>
        </is>
      </c>
      <c r="F12" s="5" t="inlineStr">
        <is>
          <t>Programador robot (prueba en celda)</t>
        </is>
      </c>
      <c r="G12" s="5" t="inlineStr">
        <is>
          <t>KRC/R1/Program/Centerline/centerline_weld.src, KRC/R1/Program/StyleApps/Options/style1app1opt1.src, KRC/R1/Program/StyleApps/Options/style1app1opt2.src, KRC/R1/Program/StyleApps/Options/style1app1opt3.src, KRC/R1/Program/StyleApps/Options/style1app2opt1.src, KRC/R1/Program/StylePicks/Options/style1pick1opt1.src, KRC/R1/Program/StylePicks/Options/style1pick1opt2.src, KRC/R1/Program/StylePicks/Options/style1pick1opt1AutoRR.src, KRC/R1/Program/Styles/Options/style1opt1.src</t>
        </is>
      </c>
      <c r="H12" s="5" t="inlineStr">
        <is>
          <t>• En el respaldo ningún módulo del integrador (KRC/R1/Program, KRC/R1/cell.src, sps.sub) tiene GOTO ni etiquetas.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celda: un ciclo sin dry cycle de estación 1 y uno de estación 2 (T1 y automático), un rechazo por nut check (option 1), un ciclo red rabbit (option 12), un pick en dry cycle (sin espera de pieza; el ciclo se sigue colgando en la primera weld app por F04, igual que antes) y el timeout de gun cerrado en T1 sin tuerca (HALT, START: vuelve a dar timeout si sigue sin cerrar). Anotar fecha y resultado de cada uno.</t>
        </is>
      </c>
      <c r="I12" s="5" t="inlineStr">
        <is>
          <t>F30, F07</t>
        </is>
      </c>
      <c r="J12" s="6" t="inlineStr">
        <is>
          <t>Corregido en oficina - probar en celda</t>
        </is>
      </c>
      <c r="K12" s="6" t="inlineStr"/>
      <c r="L12" s="6" t="inlineStr"/>
      <c r="M12" s="6" t="inlineStr"/>
      <c r="N12" s="6" t="inlineStr"/>
      <c r="O12" s="7" t="inlineStr">
        <is>
          <t>Integrado - por probar</t>
        </is>
      </c>
      <c r="P12" s="7" t="inlineStr">
        <is>
          <t>2026-10-05</t>
        </is>
      </c>
      <c r="Q12" s="7" t="inlineStr">
        <is>
          <t>Sigue en la versión integrada (658424_R10_2026-10-05_0819.zip, armada sobre el respaldo del programador). Cargarla y hacer la prueba de este punto.</t>
        </is>
      </c>
    </row>
    <row r="13">
      <c r="A13" s="2" t="inlineStr">
        <is>
          <t>G12</t>
        </is>
      </c>
      <c r="B13" s="3" t="inlineStr">
        <is>
          <t>Gestamp #12</t>
        </is>
      </c>
      <c r="C13" s="4" t="inlineStr">
        <is>
          <t>Medio</t>
        </is>
      </c>
      <c r="D13" s="3" t="inlineStr">
        <is>
          <t>Nombres de señal en lugar de números de E/S
Gestamp: "Use of I/O numbers instead of signal names"</t>
        </is>
      </c>
      <c r="E13" s="5" t="inlineStr">
        <is>
          <t>Código + prueba en celda</t>
        </is>
      </c>
      <c r="F13" s="5" t="inlineStr">
        <is>
          <t>Programador robot (prueba en celda)</t>
        </is>
      </c>
      <c r="G13" s="5" t="inlineStr">
        <is>
          <t>KRC/R1/Program/Centerline/centerline_weld.src, KRC/R1/Program/Centerline/PRELOAD.src, KRC/R1/Program/Centerline/CENTERLINE_HOME.src, KRC/R1/System/sps.sub, KRC/R1/TP/AutomationCore/automationcoreroutines.dat, KRC/R1/System/$config.dat</t>
        </is>
      </c>
      <c r="H13" s="5" t="inlineStr">
        <is>
          <t>• En el respaldo ninguna línea ejecutable del integrador fuera de un inline form KUKA usa $IN[n]/$OUT[n] literal (la auditoría lo revisa).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13" s="5" t="inlineStr">
        <is>
          <t>F17, C23, F29</t>
        </is>
      </c>
      <c r="J13" s="6" t="inlineStr">
        <is>
          <t>Corregido en oficina - probar en celda</t>
        </is>
      </c>
      <c r="K13" s="6" t="inlineStr"/>
      <c r="L13" s="6" t="inlineStr"/>
      <c r="M13" s="6" t="inlineStr"/>
      <c r="N13" s="6" t="inlineStr"/>
      <c r="O13" s="7" t="inlineStr">
        <is>
          <t>Integrado - por probar</t>
        </is>
      </c>
      <c r="P13" s="7" t="inlineStr">
        <is>
          <t>2026-10-05</t>
        </is>
      </c>
      <c r="Q13" s="7" t="inlineStr">
        <is>
          <t>Sigue en la versión integrada (658424_R10_2026-10-05_0819.zip, armada sobre el respaldo del programador). Cargarla y hacer la prueba de este punto.</t>
        </is>
      </c>
    </row>
    <row r="14">
      <c r="A14" s="2" t="inlineStr">
        <is>
          <t>G13</t>
        </is>
      </c>
      <c r="B14" s="3" t="inlineStr">
        <is>
          <t>Gestamp #13</t>
        </is>
      </c>
      <c r="C14" s="4" t="inlineStr">
        <is>
          <t>Medio</t>
        </is>
      </c>
      <c r="D14" s="3" t="inlineStr">
        <is>
          <t>Código simplificado (nut present en una línea, duplicados fuera)
Gestamp: "Poor programming (10 lines for nut present)"</t>
        </is>
      </c>
      <c r="E14" s="5" t="inlineStr">
        <is>
          <t>Código + prueba en celda</t>
        </is>
      </c>
      <c r="F14" s="5" t="inlineStr">
        <is>
          <t>Programador robot (prueba en celda)</t>
        </is>
      </c>
      <c r="G14" s="5" t="inlineStr">
        <is>
          <t>KRC/R1/Program/StyleApps/Options/style1app2opt1.src, KRC/R1/Program/Centerline/centerline_weld.src, KRC/R1/Program/StylePicks/Options/style1pick1opt1.src, KRC/R1/Program/StylePicks/Options/style1pick1opt2.src, KRC/R1/Program/StylePicks/Options/style1pick1opt1AutoRR.src, KRC/R1/Program/StyleDrops/Options/style1drop1opt1.src, KRC/R1/Program/Utilities/RejectGE4.src</t>
        </is>
      </c>
      <c r="H14" s="5" t="inlineStr">
        <is>
          <t>•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automático con option 1: 5 ciclos con pieza buena sin rechazo por tuercas; un ciclo con una tuerca faltante (o una pieza red rabbit) termina en RejectGE4; PARTPRESENT1..3 leídos en el display de variables. En cada pick, drop y reject el gripper confirma su estado con GRPg_SetStateAndCheck, sin el GRPg_Check extra. Anotar fecha y resultado.</t>
        </is>
      </c>
      <c r="I14" s="5" t="inlineStr">
        <is>
          <t>F28, F03, F31</t>
        </is>
      </c>
      <c r="J14" s="6" t="inlineStr">
        <is>
          <t>Corregido en oficina - probar en celda</t>
        </is>
      </c>
      <c r="K14" s="6" t="inlineStr"/>
      <c r="L14" s="6" t="inlineStr"/>
      <c r="M14" s="6" t="inlineStr"/>
      <c r="N14" s="6" t="inlineStr"/>
      <c r="O14" s="7" t="inlineStr">
        <is>
          <t>Integrado - por probar</t>
        </is>
      </c>
      <c r="P14" s="7" t="inlineStr">
        <is>
          <t>2026-10-05</t>
        </is>
      </c>
      <c r="Q14" s="7" t="inlineStr">
        <is>
          <t>Sigue en la versión integrada (658424_R10_2026-10-05_0819.zip, armada sobre el respaldo del programador). Cargarla y hacer la prueba de este punto.</t>
        </is>
      </c>
    </row>
    <row r="15">
      <c r="A15" s="2" t="inlineStr">
        <is>
          <t>G14</t>
        </is>
      </c>
      <c r="B15" s="3" t="inlineStr">
        <is>
          <t>Gestamp #14</t>
        </is>
      </c>
      <c r="C15" s="4" t="inlineStr">
        <is>
          <t>Medio</t>
        </is>
      </c>
      <c r="D15" s="3" t="inlineStr">
        <is>
          <t>Revisar gripper vacío antes del comando de gripper
Gestamp: "Gripper opened before the part control check"</t>
        </is>
      </c>
      <c r="E15" s="5" t="inlineStr">
        <is>
          <t>Código + prueba en celda</t>
        </is>
      </c>
      <c r="F15" s="5" t="inlineStr">
        <is>
          <t>Programador robot (prueba en celda)</t>
        </is>
      </c>
      <c r="G15" s="5" t="inlineStr">
        <is>
          <t>KRC/R1/Program/StylePicks/Options/style1pick1opt1.src, KRC/R1/Program/StylePicks/Options/style1pick1opt2.src, KRC/R1/Program/StylePicks/Options/style1pick1opt1AutoRR.src</t>
        </is>
      </c>
      <c r="H15" s="5" t="inlineStr">
        <is>
          <t>• En los tres picks la espera de gripper vacío está antes del primer comando de gripper.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T1: con una pieza en el gripper al iniciar el pick, el robot se queda en la espera sin mover el gripper. Anotar fecha.</t>
        </is>
      </c>
      <c r="I15" s="5" t="inlineStr"/>
      <c r="J15" s="6" t="inlineStr">
        <is>
          <t>Corregido en oficina - probar en celda</t>
        </is>
      </c>
      <c r="K15" s="6" t="inlineStr"/>
      <c r="L15" s="6" t="inlineStr"/>
      <c r="M15" s="6" t="inlineStr"/>
      <c r="N15" s="6" t="inlineStr"/>
      <c r="O15" s="7" t="inlineStr">
        <is>
          <t>Integrado - por probar</t>
        </is>
      </c>
      <c r="P15" s="7" t="inlineStr">
        <is>
          <t>2026-10-05</t>
        </is>
      </c>
      <c r="Q15" s="7" t="inlineStr">
        <is>
          <t>Sigue en la versión integrada (658424_R10_2026-10-05_0819.zip, armada sobre el respaldo del programador). Cargarla y hacer la prueba de este punto.</t>
        </is>
      </c>
    </row>
    <row r="16">
      <c r="A16" s="2" t="inlineStr">
        <is>
          <t>G15</t>
        </is>
      </c>
      <c r="B16" s="3" t="inlineStr">
        <is>
          <t>Gestamp #15</t>
        </is>
      </c>
      <c r="C16" s="9" t="inlineStr">
        <is>
          <t>Bajo</t>
        </is>
      </c>
      <c r="D16" s="3" t="inlineStr">
        <is>
          <t>Nombres, variables y comentarios en inglés
Gestamp: "Names, variables and comments not in English"</t>
        </is>
      </c>
      <c r="E16" s="5" t="inlineStr">
        <is>
          <t>Código</t>
        </is>
      </c>
      <c r="F16" s="5" t="inlineStr">
        <is>
          <t>Programador robot (prueba en celda)</t>
        </is>
      </c>
      <c r="G16" s="5" t="inlineStr">
        <is>
          <t>KRC/R1/TP/AutomationCore/automationcoreroutines.dat, KRC/R1/System/$config.dat, KRC/R1/Program/Centerline/PRELOAD.src, KRC/R1/Program/Centerline/Request_next_nut.src, KRC/R1/Program/StylePicks/Options/style1pick1opt1.src, KRC/R1/Program/StylePicks/Options/style1pick1opt2.src, KRC/R1/Program/StylePicks/Options/style1pick1opt1AutoRR.src, KRC/R1/Program/StyleApps/Options/style1app2opt1.src, KRC/R1/Program/StyleApps/Options/style1app2opt2.src, KRC/R1/Program/Styles/Options/style1opt1.src, KRC/R1/Program/Styles/Options/Style1Opt10AutoRR.src, KRC/R1/Program/Utilities/RejectGE4.src</t>
        </is>
      </c>
      <c r="H16" s="5" t="inlineStr">
        <is>
          <t>• La auditoría no encuentra comentarios en español ni los nombres viejos (NUT_STAR, Judment, Rejeted, di227SensorCamera) en código ejecutable ni en declaraciones del respaldo.
• En el controlador ya no existe la carpeta KRC/R1/Program/Styles/optiones: style1opt1 y Style1Opt10AutoRR están solo en Styles/Options (la carpeta vieja se borra a mano; si queda, hay dos módulos con el mismo nombre).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16" s="5" t="inlineStr">
        <is>
          <t>C26, F36</t>
        </is>
      </c>
      <c r="J16" s="6" t="inlineStr">
        <is>
          <t>Corregido en oficina - probar en celda</t>
        </is>
      </c>
      <c r="K16" s="6" t="inlineStr"/>
      <c r="L16" s="6" t="inlineStr"/>
      <c r="M16" s="6" t="inlineStr"/>
      <c r="N16" s="6" t="inlineStr"/>
      <c r="O16" s="7" t="inlineStr">
        <is>
          <t>Integrado - por probar</t>
        </is>
      </c>
      <c r="P16" s="7" t="inlineStr">
        <is>
          <t>2026-10-05</t>
        </is>
      </c>
      <c r="Q16" s="7" t="inlineStr">
        <is>
          <t>Sigue en la versión integrada (658424_R10_2026-10-05_0819.zip, armada sobre el respaldo del programador). Cargarla y hacer la prueba de este punto.</t>
        </is>
      </c>
    </row>
    <row r="17">
      <c r="A17" s="2" t="inlineStr">
        <is>
          <t>G16</t>
        </is>
      </c>
      <c r="B17" s="3" t="inlineStr">
        <is>
          <t>Gestamp #16</t>
        </is>
      </c>
      <c r="C17" s="4" t="inlineStr">
        <is>
          <t>Medio</t>
        </is>
      </c>
      <c r="D17" s="3" t="inlineStr">
        <is>
          <t>Constantes para límites de carrera, presiones y tiempos
Gestamp: "NO variables for e.g. stroke limits"</t>
        </is>
      </c>
      <c r="E17" s="5" t="inlineStr">
        <is>
          <t>Código + prueba en celda</t>
        </is>
      </c>
      <c r="F17" s="5" t="inlineStr">
        <is>
          <t>Programador robot (prueba en celda)</t>
        </is>
      </c>
      <c r="G17" s="5" t="inlineStr">
        <is>
          <t>KRC/R1/System/$config.dat, KRC/R1/Program/Centerline/centerline_weld.src, KRC/R1/Program/Centerline/CENTERLINE_HOME.src</t>
        </is>
      </c>
      <c r="H17" s="5" t="inlineStr">
        <is>
          <t>• No quedan esos números en líneas ejecutables de CENTERLINE_WELD / CENTERLINE_HOME.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de soldadura completo en automático; valores leídos en el display de variables iguales a los del fold CENTERLINE CONTROL. Anotar fecha.</t>
        </is>
      </c>
      <c r="I17" s="5" t="inlineStr">
        <is>
          <t>F16, F44, F41</t>
        </is>
      </c>
      <c r="J17" s="6" t="inlineStr">
        <is>
          <t>Corregido en oficina - probar en celda</t>
        </is>
      </c>
      <c r="K17" s="6" t="inlineStr"/>
      <c r="L17" s="6" t="inlineStr"/>
      <c r="M17" s="6" t="inlineStr"/>
      <c r="N17" s="6" t="inlineStr"/>
      <c r="O17" s="7" t="inlineStr">
        <is>
          <t>Integrado - por probar</t>
        </is>
      </c>
      <c r="P17" s="7" t="inlineStr">
        <is>
          <t>2026-10-05</t>
        </is>
      </c>
      <c r="Q17" s="7" t="inlineStr">
        <is>
          <t>Sigue en la versión integrada (658424_R10_2026-10-05_0819.zip, armada sobre el respaldo del programador). Cargarla y hacer la prueba de este punto.</t>
        </is>
      </c>
    </row>
    <row r="18">
      <c r="A18" s="2" t="inlineStr">
        <is>
          <t>G17</t>
        </is>
      </c>
      <c r="B18" s="3" t="inlineStr">
        <is>
          <t>Gestamp #17</t>
        </is>
      </c>
      <c r="C18" s="9" t="inlineStr">
        <is>
          <t>Bajo</t>
        </is>
      </c>
      <c r="D18" s="3" t="inlineStr">
        <is>
          <t>Lógica Nut_weld_Retry inútil
Gestamp: "Nut_weld_Retry logic useless"</t>
        </is>
      </c>
      <c r="E18" s="5" t="inlineStr">
        <is>
          <t>Código</t>
        </is>
      </c>
      <c r="F18" s="5" t="inlineStr">
        <is>
          <t>Programador robot (prueba en celda)</t>
        </is>
      </c>
      <c r="G18" s="5" t="inlineStr">
        <is>
          <t>KRC/R1/Program/StyleApps/Options/style1app1opt1.src, KRC/R1/Program/StyleApps/Options/style1app1opt2.src, KRC/R1/Program/StyleApps/Options/style1app1opt3.src, KRC/R1/System/$config.dat</t>
        </is>
      </c>
      <c r="H18" s="5" t="inlineStr">
        <is>
          <t>• NUT_WELD_RETRY y RETRY_NUT1 no aparecen en el respaldo.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completo en automático con las 3 tuercas, sin errores. Anotar fecha.</t>
        </is>
      </c>
      <c r="I18" s="5" t="inlineStr">
        <is>
          <t>F24</t>
        </is>
      </c>
      <c r="J18" s="6" t="inlineStr">
        <is>
          <t>Corregido en oficina - probar en celda</t>
        </is>
      </c>
      <c r="K18" s="6" t="inlineStr"/>
      <c r="L18" s="6" t="inlineStr"/>
      <c r="M18" s="6" t="inlineStr"/>
      <c r="N18" s="6" t="inlineStr"/>
      <c r="O18" s="7" t="inlineStr">
        <is>
          <t>Integrado - por probar</t>
        </is>
      </c>
      <c r="P18" s="7" t="inlineStr">
        <is>
          <t>2026-10-05</t>
        </is>
      </c>
      <c r="Q18" s="7" t="inlineStr">
        <is>
          <t>Sigue en la versión integrada (658424_R10_2026-10-05_0819.zip, armada sobre el respaldo del programador). Cargarla y hacer la prueba de este punto.</t>
        </is>
      </c>
    </row>
    <row r="19">
      <c r="A19" s="2" t="inlineStr">
        <is>
          <t>G18</t>
        </is>
      </c>
      <c r="B19" s="3" t="inlineStr">
        <is>
          <t>Gestamp #18</t>
        </is>
      </c>
      <c r="C19" s="8" t="inlineStr">
        <is>
          <t>Alto</t>
        </is>
      </c>
      <c r="D19" s="3" t="inlineStr">
        <is>
          <t>Sin chequeo de soldadura buena
Gestamp: "NO check for Weld OK, just weld finished"</t>
        </is>
      </c>
      <c r="E19" s="5" t="inlineStr">
        <is>
          <t>Código + prueba en celda</t>
        </is>
      </c>
      <c r="F19" s="5" t="inlineStr">
        <is>
          <t>Programador robot / Puesta en marcha</t>
        </is>
      </c>
      <c r="G19" s="5" t="inlineStr">
        <is>
          <t>KRC/R1/Program/Centerline/centerline_weld.src, KRC/R1/Program/Styles/Options/style1opt1.src</t>
        </is>
      </c>
      <c r="H19" s="5" t="inlineStr">
        <is>
          <t>• Se cumplen los criterios de F08.</t>
        </is>
      </c>
      <c r="I19" s="5" t="inlineStr">
        <is>
          <t>F08</t>
        </is>
      </c>
      <c r="J19" s="6" t="inlineStr">
        <is>
          <t>Requiere decisión</t>
        </is>
      </c>
      <c r="K19" s="6" t="inlineStr"/>
      <c r="L19" s="6" t="inlineStr"/>
      <c r="M19" s="6" t="inlineStr"/>
      <c r="N19" s="6" t="inlineStr"/>
      <c r="O19" s="7" t="inlineStr">
        <is>
          <t>Alta (Gestamp)</t>
        </is>
      </c>
      <c r="P19" s="7" t="inlineStr">
        <is>
          <t>2026-10-04</t>
        </is>
      </c>
      <c r="Q19" s="7" t="inlineStr">
        <is>
          <t>Punto 18 de la revisión de Gestamp del 2026-10-02 (BMW-03-10R1).</t>
        </is>
      </c>
    </row>
    <row r="20">
      <c r="A20" s="2" t="inlineStr">
        <is>
          <t>G19</t>
        </is>
      </c>
      <c r="B20" s="3" t="inlineStr">
        <is>
          <t>Gestamp #19</t>
        </is>
      </c>
      <c r="C20" s="8" t="inlineStr">
        <is>
          <t>Alto</t>
        </is>
      </c>
      <c r="D20" s="3" t="inlineStr">
        <is>
          <t>Handshake de la tuerca frágil ante selección de bloque, reset y reinicio
Gestamp: "Next_Nut_Ready logic can fail at block selection, reset, reboot"</t>
        </is>
      </c>
      <c r="E20" s="5" t="inlineStr">
        <is>
          <t>Código + prueba en celda</t>
        </is>
      </c>
      <c r="F20" s="5" t="inlineStr">
        <is>
          <t>Programador robot</t>
        </is>
      </c>
      <c r="G20" s="5" t="inlineStr">
        <is>
          <t>KRC/R1/Program/Centerline/PRELOAD.src, KRC/R1/Program/Centerline/Request_next_nut.src, KRC/R1/System/$config.dat, KRC/R1/cell.src, KRC/R1/System/sps.sub, KRC/R1/Program/StyleApps/Options/style1app1opt1.src, KRC/R1/Program/StyleApps/Options/style1app1opt2.src, KRC/R1/Program/StyleApps/Options/style1app1opt3.src, KRC/R1/Program/StylePicks/Options/style1pick1opt1.src, KRC/R1/Program/StylePicks/Options/style1pick1opt2.src</t>
        </is>
      </c>
      <c r="H20" s="5" t="inlineStr">
        <is>
          <t>• Se cumplen los criterios de F38 y F14.</t>
        </is>
      </c>
      <c r="I20" s="5" t="inlineStr">
        <is>
          <t>F38, F14</t>
        </is>
      </c>
      <c r="J20" s="6" t="inlineStr">
        <is>
          <t>Abierto</t>
        </is>
      </c>
      <c r="K20" s="6" t="inlineStr"/>
      <c r="L20" s="6" t="inlineStr"/>
      <c r="M20" s="6" t="inlineStr"/>
      <c r="N20" s="6" t="inlineStr"/>
      <c r="O20" s="7" t="inlineStr">
        <is>
          <t>Alta (Gestamp)</t>
        </is>
      </c>
      <c r="P20" s="7" t="inlineStr">
        <is>
          <t>2026-10-04</t>
        </is>
      </c>
      <c r="Q20" s="7" t="inlineStr">
        <is>
          <t>Punto 19 de la revisión de Gestamp del 2026-10-02 (BMW-03-10R1).</t>
        </is>
      </c>
    </row>
    <row r="21">
      <c r="A21" s="2" t="inlineStr">
        <is>
          <t>G20</t>
        </is>
      </c>
      <c r="B21" s="3" t="inlineStr">
        <is>
          <t>Gestamp #20</t>
        </is>
      </c>
      <c r="C21" s="8" t="inlineStr">
        <is>
          <t>Alto</t>
        </is>
      </c>
      <c r="D21" s="3" t="inlineStr">
        <is>
          <t>Request_next_nut y NUT_START fuera de los inline forms
Gestamp: "Change of xP0 deletes Request_next_nut inside inline forms"</t>
        </is>
      </c>
      <c r="E21" s="5" t="inlineStr">
        <is>
          <t>Código + prueba en celda</t>
        </is>
      </c>
      <c r="F21" s="5" t="inlineStr">
        <is>
          <t>Programador robot (prueba en celda)</t>
        </is>
      </c>
      <c r="G21" s="5"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21" s="5" t="inlineStr">
        <is>
          <t>• Ningún fold de inline form contiene líneas escritas a mano (la auditoría lo revisa).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abrir el inline form PTP P12 de style1pick1opt1 y PTP P0 de style1app1opt1 y confirmarlos con Cmd OK sin cambiar nada (sin Touch Up, que reenseña el punto); el TRIGGER sigue antes de cada fold. Después, un ciclo completo en automático: NUT_READY y NEXT_NUT_READY (display de variables) pasan a FALSE y vuelven a TRUE una vez por tuerca (3 preloads por pieza). Anotar fecha.</t>
        </is>
      </c>
      <c r="I21" s="5" t="inlineStr">
        <is>
          <t>F32, F14</t>
        </is>
      </c>
      <c r="J21" s="6" t="inlineStr">
        <is>
          <t>Corregido en oficina - probar en celda</t>
        </is>
      </c>
      <c r="K21" s="6" t="inlineStr"/>
      <c r="L21" s="6" t="inlineStr"/>
      <c r="M21" s="6" t="inlineStr"/>
      <c r="N21" s="6" t="inlineStr"/>
      <c r="O21" s="7" t="inlineStr">
        <is>
          <t>Integrado - por probar</t>
        </is>
      </c>
      <c r="P21" s="7" t="inlineStr">
        <is>
          <t>2026-10-05</t>
        </is>
      </c>
      <c r="Q21" s="7" t="inlineStr">
        <is>
          <t>Sigue en la versión integrada (658424_R10_2026-10-05_0819.zip, armada sobre el respaldo del programador). Cargarla y hacer la prueba de este punto.</t>
        </is>
      </c>
    </row>
    <row r="22">
      <c r="A22" s="2" t="inlineStr">
        <is>
          <t>G21</t>
        </is>
      </c>
      <c r="B22" s="3" t="inlineStr">
        <is>
          <t>Gestamp #21</t>
        </is>
      </c>
      <c r="C22" s="8" t="inlineStr">
        <is>
          <t>Alto</t>
        </is>
      </c>
      <c r="D22" s="3" t="inlineStr">
        <is>
          <t>El nut check no funciona para red rabbit
Gestamp: "Style1app2Opt1 will not work for RedRabbit"</t>
        </is>
      </c>
      <c r="E22" s="5" t="inlineStr">
        <is>
          <t>Decisión + código</t>
        </is>
      </c>
      <c r="F22" s="5" t="inlineStr">
        <is>
          <t>Gestamp controles / Programador robot</t>
        </is>
      </c>
      <c r="G22" s="5" t="inlineStr">
        <is>
          <t>KRC/R1/Program/StyleApps/Options/style1app2opt1.src, KRC/R1/Program/StyleApps/Options/style1app2opt2.src, KRC/R1/Program/Styles/Options/Style1Opt10AutoRR.src</t>
        </is>
      </c>
      <c r="H22" s="5" t="inlineStr">
        <is>
          <t>• Se cumplen los criterios de F19 para el nut check y la cámara.</t>
        </is>
      </c>
      <c r="I22" s="5" t="inlineStr">
        <is>
          <t>F19, G08</t>
        </is>
      </c>
      <c r="J22" s="6" t="inlineStr">
        <is>
          <t>Requiere decisión</t>
        </is>
      </c>
      <c r="K22" s="6" t="inlineStr"/>
      <c r="L22" s="6" t="inlineStr"/>
      <c r="M22" s="6" t="inlineStr"/>
      <c r="N22" s="6" t="inlineStr"/>
      <c r="O22" s="7" t="inlineStr">
        <is>
          <t>Alta (Gestamp)</t>
        </is>
      </c>
      <c r="P22" s="7" t="inlineStr">
        <is>
          <t>2026-10-04</t>
        </is>
      </c>
      <c r="Q22" s="7" t="inlineStr">
        <is>
          <t>Punto 21 de la revisión de Gestamp del 2026-10-02 (BMW-03-10R1).</t>
        </is>
      </c>
    </row>
    <row r="23">
      <c r="A23" s="2" t="inlineStr">
        <is>
          <t>G22</t>
        </is>
      </c>
      <c r="B23" s="3" t="inlineStr">
        <is>
          <t>Gestamp #22</t>
        </is>
      </c>
      <c r="C23" s="8" t="inlineStr">
        <is>
          <t>Alto</t>
        </is>
      </c>
      <c r="D23" s="3" t="inlineStr">
        <is>
          <t>Uso incorrecto de AutomationCore
Gestamp: "Use of AutomationCore is wrong in multiple places"</t>
        </is>
      </c>
      <c r="E23" s="5" t="inlineStr">
        <is>
          <t>Decisión Gestamp + código</t>
        </is>
      </c>
      <c r="F23" s="5" t="inlineStr">
        <is>
          <t>Gestamp controles / Programador robot</t>
        </is>
      </c>
      <c r="G23" s="5" t="inlineStr">
        <is>
          <t>KRC/R1/System/sps.sub, KRC/R1/TP/AutomationCore/automationcoreroutines.src, inline forms AutomationCore, KRC/R1/Program/Utilities/RejectGE4.src, KRC/R1/Program/Styles/Options/style1opt1.src, KRC/R1/cell.src, KRC/R1/Program/masref_user.src</t>
        </is>
      </c>
      <c r="H23" s="5" t="inlineStr">
        <is>
          <t>• Lista de Gestamp recibida y anotada aquí.
• Cada lugar de la lista corregido y auditado.</t>
        </is>
      </c>
      <c r="I23" s="5" t="inlineStr">
        <is>
          <t>F12, C01, F46, F21, F20, C11, C12, C18, C19, C14, F35</t>
        </is>
      </c>
      <c r="J23" s="6" t="inlineStr">
        <is>
          <t>Requiere decisión</t>
        </is>
      </c>
      <c r="K23" s="6" t="inlineStr"/>
      <c r="L23" s="6" t="inlineStr"/>
      <c r="M23" s="6" t="inlineStr"/>
      <c r="N23" s="6" t="inlineStr"/>
      <c r="O23" s="7" t="inlineStr">
        <is>
          <t>Alta (Gestamp)</t>
        </is>
      </c>
      <c r="P23" s="7" t="inlineStr">
        <is>
          <t>2026-10-04</t>
        </is>
      </c>
      <c r="Q23" s="7" t="inlineStr">
        <is>
          <t>Punto 22 de la revisión de Gestamp del 2026-10-02 (BMW-03-10R1).</t>
        </is>
      </c>
    </row>
    <row r="24">
      <c r="A24" s="10" t="inlineStr">
        <is>
          <t>F01</t>
        </is>
      </c>
      <c r="B24" s="5" t="inlineStr">
        <is>
          <t>Ethos</t>
        </is>
      </c>
      <c r="C24" s="11" t="inlineStr">
        <is>
          <t>Crítico</t>
        </is>
      </c>
      <c r="D24" s="5" t="inlineStr">
        <is>
          <t>Entrada al pedestal sin confirmar gun abierto, clamp abierto y QFP regresado</t>
        </is>
      </c>
      <c r="E24" s="5" t="inlineStr">
        <is>
          <t>Código + prueba en celda</t>
        </is>
      </c>
      <c r="F24" s="5" t="inlineStr">
        <is>
          <t>Programador robot</t>
        </is>
      </c>
      <c r="G24" s="5" t="inlineStr">
        <is>
          <t>KRC/R1/Program/StyleApps/Options/style1app1opt1.src, KRC/R1/Program/StyleApps/Options/style1app1opt2.src, KRC/R1/Program/StyleApps/Options/style1app1opt3.src, KRC/R1/Program/Centerline/PRELOAD.src, KRC/R1/Program/Centerline/centerline_weld.src</t>
        </is>
      </c>
      <c r="H24" s="5" t="inlineStr">
        <is>
          <t>• En style1app1opt1, opt2 y opt3, inmediatamente antes del LIN de aproximación (P20, P6 y P13 respectivamente), después de la espera de NUT_READY / NEXT_NUT_READY y fuera de cualquier fold de inline form, existe una espera supervisada (timeout + mensaje + $OUT[4] do004ProcessFault) de: CL_GunStrokePositionLPT &gt; CL_GUN_OPEN_MIN, $IN[466] di466PartClampOpen ON, $IN[482] dipw1_SpearHome ON y $IN[470] di470QFPAdvanced OFF. Corre también en dry cycle, porque el LIN de aproximación se ejecuta en los dos casos.
• La espera detiene el advance run (WAIT FOR, o WAIT SEC 0 antes de una evaluación con IF o lazo): la condición sobre CL_GunStrokePositionLPT, que es una variable y no una entrada, no se evalúa por adelantado.
• En PRELOAD, paso 20: STEP20DONE (y por tanto NUT_READY / NEXT_NUT_READY = TRUE) exige $IN[482] dipw1_SpearHome ON además de $TIMER[12].
• Prueba en T1 con override reducido, una por condición: clamp no abierto, QFP no regresado y gun no abierto (sensor desconectado o válvula sin aire). En cada caso el robot se detiene antes del LIN de aproximación con el mensaje que nombra la condición y $OUT[4] ON, y continúa solo al corregirla. Anotar fecha, override y resultado de cada caso.
• Comentarios del código cambiado según docs/CONVENTIONS.md (inglés, señal con dirección y nombre); los ;CHECK:/;NOTE:/;WARNING: que citan (F01) se quitan o se actualizan; el cambio está declarado en tools/code_changes.json y tools/check_equivalence.py pasa; ningún encabezado de inline form ni línea dentro de un fold de form cambia sin estar declarado (F32, F21, F31).</t>
        </is>
      </c>
      <c r="I24" s="5" t="inlineStr"/>
      <c r="J24" s="6" t="inlineStr">
        <is>
          <t>Abierto</t>
        </is>
      </c>
      <c r="K24" s="6" t="inlineStr"/>
      <c r="L24" s="6" t="inlineStr"/>
      <c r="M24" s="6" t="inlineStr"/>
      <c r="N24" s="6" t="inlineStr"/>
      <c r="O24" s="7" t="inlineStr">
        <is>
          <t>Revisión independiente</t>
        </is>
      </c>
      <c r="P24" s="7" t="inlineStr">
        <is>
          <t>2026-10-05</t>
        </is>
      </c>
      <c r="Q24" s="7" t="inlineStr">
        <is>
          <t>GUN_OPEN_CHECK e interrupts 20-22: KRL válido e integración fiel. Huecos: los interrupts solo disparan en el cambio FALSE→TRUE; al salir se reactivan después de las esperas de clamp/QFP y de la presión de reposo, y al entrar el submit solo se revisa al inicio de GUN_OPEN_CHECK. Corrección: INTERRUPT ON 20-22 antes de cada GUN_OPEN_CHECK. Además: tras reconocer GUN_OPEN_LOST el robot puede quedar parado sin mensaje; la vigilancia se apaga un punto antes de salir; una selección de paso salta el interlock.</t>
        </is>
      </c>
    </row>
    <row r="25">
      <c r="A25" s="10" t="inlineStr">
        <is>
          <t>F02</t>
        </is>
      </c>
      <c r="B25" s="5" t="inlineStr">
        <is>
          <t>Ethos</t>
        </is>
      </c>
      <c r="C25" s="8" t="inlineStr">
        <is>
          <t>Alto</t>
        </is>
      </c>
      <c r="D25" s="5" t="inlineStr">
        <is>
          <t>Options 2, 7 y 8 no evalúan el sensor de tuercas: solo decide la cámara</t>
        </is>
      </c>
      <c r="E25" s="5" t="inlineStr">
        <is>
          <t>Código + prueba en celda</t>
        </is>
      </c>
      <c r="F25" s="5" t="inlineStr">
        <is>
          <t>Programador robot + Gestamp controles</t>
        </is>
      </c>
      <c r="G25" s="5" t="inlineStr">
        <is>
          <t>KRC/R1/Program/StyleApps/Options/style1app2opt1.src, KRC/R1/Program/StyleApps/Options/style1app2opt2.src, KRC/R1/Program/Styles/style_1.src, KRC/R1/Program/Styles/Options/style1opt1.src</t>
        </is>
      </c>
      <c r="H25" s="5" t="inlineStr">
        <is>
          <t>• Respuesta escrita del programador PLC (Gestamp) con la lista de options que manda producción, adjunta a la lista.
• En style1app2opt1 toda option de producción que llega a Style1Opt1 (1, 2, 7, 8 o las confirmadas) entra en la evaluación del sensor; ninguna sale sin escribir bscrapGE4.
• bscrapGE4 = TRUE se asigna antes de leer $IN[227] di227NutPresent1 (nut check) y antes de pedir la cámara con $OUT[80] do080RepositionTooling1; bscrapGE4 = FALSE solo aparece en la rama de pase. En la cámara, una combinación de $IN[100]/$IN[101] distinta de OK ON y NG OFF deja la pieza en scrap.
• Ninguna option pasa en silencio: una option que no es de producción ni red rabbit da mensaje y $OUT[4] do004ProcessFault y bscrapGE4 queda en TRUE.
• Prueba en celda con option 2 (y 7/8 si producción las usa): (1) pieza con una tuerca faltante termina en RejectGE4 aunque la cámara dé OK (cámara simulada desde el PLC); (2) pieza con las 3 tuercas termina en Style1Drop1Opt1; (3) cámara NG termina en RejectGE4. Anotar fecha, option, caso y destino de la pieza.
• Comentarios del código cambiado según docs/CONVENTIONS.md (inglés, señal con dirección y nombre); los ;CHECK:/;NOTE:/;WARNING: que citan (F02) se quitan o se actualizan; el cambio está declarado en tools/code_changes.json y tools/check_equivalence.py pasa; ningún encabezado de inline form ni línea dentro de un fold de form cambia sin estar declarado (F32, F21, F31).</t>
        </is>
      </c>
      <c r="I25" s="5" t="inlineStr"/>
      <c r="J25" s="6" t="inlineStr">
        <is>
          <t>Requiere decisión</t>
        </is>
      </c>
      <c r="K25" s="6" t="inlineStr"/>
      <c r="L25" s="6" t="inlineStr"/>
      <c r="M25" s="6" t="inlineStr"/>
      <c r="N25" s="6" t="inlineStr"/>
      <c r="O25" s="7" t="inlineStr">
        <is>
          <t>Integrado - avance parcial</t>
        </is>
      </c>
      <c r="P25" s="7" t="inlineStr">
        <is>
          <t>2026-10-05</t>
        </is>
      </c>
      <c r="Q25" s="7" t="inlineStr">
        <is>
          <t>Sensor y cámara deciden para options 1, 2, 7 y 8; la cámara sin resultado válido da scrap. Faltan: respuesta escrita del PLC con las options de producción, bscrapGE4 = TRUE antes de leer, falla con mensaje para una option desconocida y la prueba en celda.</t>
        </is>
      </c>
    </row>
    <row r="26">
      <c r="A26" s="10" t="inlineStr">
        <is>
          <t>F03</t>
        </is>
      </c>
      <c r="B26" s="5" t="inlineStr">
        <is>
          <t>Calvin #8</t>
        </is>
      </c>
      <c r="C26" s="8" t="inlineStr">
        <is>
          <t>Alto</t>
        </is>
      </c>
      <c r="D26" s="5" t="inlineStr">
        <is>
          <t>PARTPRESENT1..3 y bscrapGE4 no se resetean al inicio del ciclo</t>
        </is>
      </c>
      <c r="E26" s="5" t="inlineStr">
        <is>
          <t>Código + prueba en celda</t>
        </is>
      </c>
      <c r="F26" s="5" t="inlineStr">
        <is>
          <t>Programador robot</t>
        </is>
      </c>
      <c r="G26" s="5" t="inlineStr">
        <is>
          <t>KRC/R1/Program/Styles/Options/style1opt1.src, KRC/R1/Program/Styles/Options/Style1Opt10AutoRR.src, KRC/R1/Program/StyleApps/Options/style1app2opt1.src, KRC/R1/System/$config.dat</t>
        </is>
      </c>
      <c r="H26" s="5" t="inlineStr">
        <is>
          <t>• En Style1Opt1, antes de cualquier pick, PARTPRESENT1..3 = FALSE y bscrapGE4 = TRUE.
• En Style1Opt10AutoRR, antes del pick, PARTPRESENT1..3 = FALSE (el nut check es compartido con el red rabbit).
• En style1app2opt1 cada uno de los 3 checks asigna PARTPRESENTn = di227NutPresent1 (TRUE o FALSE) (hecho en oficina, G13).
• Prueba en celda: cancelar un ciclo después del nut check (p. ej. en la espera de $IN[80] di080ToolRepositioned1), reiniciar y verificar en la pantalla de variables que PARTPRESENT1..3 = FALSE y bscrapGE4 = TRUE antes de llegar al nut check. Anotar fecha y valores leídos.
• Comentarios del código cambiado según docs/CONVENTIONS.md (inglés, señal con dirección y nombre); los ;CHECK:/;NOTE:/;WARNING: que citan (F03) se quitan o se actualizan; el cambio está declarado en tools/code_changes.json y tools/check_equivalence.py pasa; ningún encabezado de inline form ni línea dentro de un fold de form cambia sin estar declarado (F32, F21, F31).</t>
        </is>
      </c>
      <c r="I26" s="5" t="inlineStr">
        <is>
          <t>F02</t>
        </is>
      </c>
      <c r="J26" s="6" t="inlineStr">
        <is>
          <t>Abierto</t>
        </is>
      </c>
      <c r="K26" s="6" t="inlineStr"/>
      <c r="L26" s="6" t="inlineStr"/>
      <c r="M26" s="6" t="inlineStr"/>
      <c r="N26" s="6" t="inlineStr"/>
      <c r="O26" s="7" t="inlineStr">
        <is>
          <t>Auditoría - sin cambio</t>
        </is>
      </c>
      <c r="P26" s="7" t="inlineStr">
        <is>
          <t>2026-10-05</t>
        </is>
      </c>
      <c r="Q26" s="7" t="inlineStr">
        <is>
          <t>PARTPRESENTn sigue poniéndose solo en TRUE y se lee antes del WAIT SEC 0.2; se limpia al final de Style1Opt1, no al inicio.</t>
        </is>
      </c>
    </row>
    <row r="27">
      <c r="A27" s="10" t="inlineStr">
        <is>
          <t>F04</t>
        </is>
      </c>
      <c r="B27" s="5" t="inlineStr">
        <is>
          <t>Ethos</t>
        </is>
      </c>
      <c r="C27" s="8" t="inlineStr">
        <is>
          <t>Alto</t>
        </is>
      </c>
      <c r="D27" s="5" t="inlineStr">
        <is>
          <t>Dry cycle se cuelga en la primera weld app: PRELOAD borra NUT_READY y nunca lo pone</t>
        </is>
      </c>
      <c r="E27" s="5" t="inlineStr">
        <is>
          <t>Código + prueba en celda</t>
        </is>
      </c>
      <c r="F27" s="5" t="inlineStr">
        <is>
          <t>Programador robot</t>
        </is>
      </c>
      <c r="G27" s="5" t="inlineStr">
        <is>
          <t>KRC/R1/Program/StyleApps/Options/style1app1opt1.src, KRC/R1/Program/StyleApps/Options/style1app1opt2.src, KRC/R1/Program/StyleApps/Options/style1app1opt3.src, KRC/R1/Program/Centerline/PRELOAD.src, KRC/R1/Program/Centerline/Request_next_nut.src, KRC/R1/Program/StylePicks/Options/style1pick1opt1.src, KRC/R1/Program/StylePicks/Options/style1pick1opt2.src, KRC/R1/System/$config.dat</t>
        </is>
      </c>
      <c r="H27" s="5" t="inlineStr">
        <is>
          <t>• En style1app1opt1..3, en producción la espera de NUT_READY / NEXT_NUT_READY sigue antes del LIN de aproximación (P20, P6, P13), junto con la espera de F01. Con dry cycle no se ejecuta ninguna espera que dependa de PRELOAD.
• En PRELOAD, con dry cycle activo un NUT_START no deja NUTCYCLE_ACTIVE = TRUE con NUT_READY = FALSE; al terminar un dry cycle no queda un preload iniciado ni un NUT_START pendiente que alimente una tuerca al quitar el dry cycle.
• Prueba en celda: con dry cycle desde el inicio, ciclo completo desde la estación 1 y desde la estación 2 hasta el final del ciclo; después, sin dry cycle, un ciclo productivo con una sola tuerca alimentada para cada soldadura (sin doble tuerca ni espera infinita). Anotar fecha y resultado.
• Comentarios del código cambiado según docs/CONVENTIONS.md (inglés, señal con dirección y nombre); los ;CHECK:/;NOTE:/;WARNING: que citan (F04) se quitan o se actualizan; el cambio está declarado en tools/code_changes.json y tools/check_equivalence.py pasa; ningún encabezado de inline form ni línea dentro de un fold de form cambia sin estar declarado (F32, F21, F31).</t>
        </is>
      </c>
      <c r="I27" s="5" t="inlineStr"/>
      <c r="J27" s="6" t="inlineStr">
        <is>
          <t>Abierto</t>
        </is>
      </c>
      <c r="K27" s="6" t="inlineStr"/>
      <c r="L27" s="6" t="inlineStr"/>
      <c r="M27" s="6" t="inlineStr"/>
      <c r="N27" s="6" t="inlineStr"/>
      <c r="O27" s="7" t="inlineStr">
        <is>
          <t>Alta (Ethos)</t>
        </is>
      </c>
      <c r="P27" s="7" t="inlineStr">
        <is>
          <t>2026-10-04</t>
        </is>
      </c>
      <c r="Q27" s="7" t="inlineStr">
        <is>
          <t>Revisión Ethos del respaldo 658424 (v431_03_10_r1.zip del 2026-10-02).</t>
        </is>
      </c>
    </row>
    <row r="28">
      <c r="A28" s="10" t="inlineStr">
        <is>
          <t>F05</t>
        </is>
      </c>
      <c r="B28" s="5" t="inlineStr">
        <is>
          <t>Ethos</t>
        </is>
      </c>
      <c r="C28" s="8" t="inlineStr">
        <is>
          <t>Alto</t>
        </is>
      </c>
      <c r="D28" s="5" t="inlineStr">
        <is>
          <t>Dry cycle releído en cada paso: un cambio a mitad de ciclo deja pasar pieza incompleta</t>
        </is>
      </c>
      <c r="E28" s="5" t="inlineStr">
        <is>
          <t>Código + prueba en celda</t>
        </is>
      </c>
      <c r="F28" s="5" t="inlineStr">
        <is>
          <t>Programador robot</t>
        </is>
      </c>
      <c r="G28" s="5"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KRC/R1/Program/Centerline/PRELOAD.src, KRC/R1/Program/Styles/Options/style1opt1.src, KRC/R1/Program/Styles/Options/Style1Opt10AutoRR.src, KRC/R1/System/$config.dat</t>
        </is>
      </c>
      <c r="H28" s="5" t="inlineStr">
        <is>
          <t>• Existe una sola bandera de dry cycle declarada con comentario (p. ej. en $config.dat), asignada desde $IN[4] di004UseDryCycle una sola vez al inicio del ciclo, antes del pick, y nada la cambia hasta el final del ciclo.
• En los picks, style1app1opt1..3, style1app2opt1, style1app2opt2 y PRELOAD no queda ninguna lectura ejecutable de di004UseDryCycle; solo de la bandera (la de sps.sub para el agua se resuelve en F09).
• Con la bandera en TRUE se cumple, y está comentado en el código, uno de: (a) el pick verifica gripper vacío después de cerrar ($IN[253] y $IN[254] OFF) y da falla con mensaje si hay pieza; o (b) la pieza termina en RejectGE4 y nunca en Style1Drop1Opt1.
• Prueba en celda en producción (option 1), con la pieza de prueba segregada: activar $IN[4] desde el PLC (1) durante un preload y (2) con el preload de la tuerca 3 terminado y el robot yendo a su pose. En los dos casos el ciclo en curso termina como productivo (3 soldaduras e inspecciones), la celda no se cuelga y el ciclo siguiente corre en dry cycle. Anotar fecha, momento del cambio y destino de la pieza.
• Comentarios del código cambiado según docs/CONVENTIONS.md (inglés, señal con dirección y nombre); los ;CHECK:/;NOTE:/;WARNING: que citan (F05) se quitan o se actualizan; el cambio está declarado en tools/code_changes.json y tools/check_equivalence.py pasa; ningún encabezado de inline form ni línea dentro de un fold de form cambia sin estar declarado (F32, F21, F31).</t>
        </is>
      </c>
      <c r="I28" s="5" t="inlineStr"/>
      <c r="J28" s="6" t="inlineStr">
        <is>
          <t>Abierto</t>
        </is>
      </c>
      <c r="K28" s="6" t="inlineStr"/>
      <c r="L28" s="6" t="inlineStr"/>
      <c r="M28" s="6" t="inlineStr"/>
      <c r="N28" s="6" t="inlineStr"/>
      <c r="O28" s="7" t="inlineStr">
        <is>
          <t>Alta (Ethos)</t>
        </is>
      </c>
      <c r="P28" s="7" t="inlineStr">
        <is>
          <t>2026-10-04</t>
        </is>
      </c>
      <c r="Q28" s="7" t="inlineStr">
        <is>
          <t>Revisión Ethos del respaldo 658424 (v431_03_10_r1.zip del 2026-10-02).</t>
        </is>
      </c>
    </row>
    <row r="29">
      <c r="A29" s="10" t="inlineStr">
        <is>
          <t>F06</t>
        </is>
      </c>
      <c r="B29" s="5" t="inlineStr">
        <is>
          <t>Ethos</t>
        </is>
      </c>
      <c r="C29" s="8" t="inlineStr">
        <is>
          <t>Alto</t>
        </is>
      </c>
      <c r="D29" s="5" t="inlineStr">
        <is>
          <t>Ciclos vacíos o silenciosos: pick ambiguo, style u option desconocidos</t>
        </is>
      </c>
      <c r="E29" s="5" t="inlineStr">
        <is>
          <t>Código + prueba en celda</t>
        </is>
      </c>
      <c r="F29" s="5" t="inlineStr">
        <is>
          <t>Programador robot</t>
        </is>
      </c>
      <c r="G29" s="5" t="inlineStr">
        <is>
          <t>KRC/R1/Program/Styles/Options/style1opt1.src, KRC/R1/Program/Styles/style_1.src, KRC/R1/cell.src</t>
        </is>
      </c>
      <c r="H29" s="5" t="inlineStr">
        <is>
          <t>• En Style1Opt1, mientras $IN[65] di065PickupMachine1 y $IN[66] di066PickupMachine2 no tengan exactamente una en ON, el robot espera con un mensaje que nombra ambas señales (con ambas en ON además $OUT[4] do004ProcessFault); no existe camino por Style1Opt1 que termine sin pick.
• En cell.src, el DEFAULT del SWITCH nStyle muestra mensaje y pone $OUT[4] do004ProcessFault, y un style no ejecutado no llega a EndOfCycle.
• En Style_1 no queda WAIT FOR FALSE; el DEFAULT muestra mensaje con el número de option y pone $OUT[4] do004ProcessFault.
• En los dos DEFAULT la falla se sostiene hasta que el operador o el PLC la reconoce (diálogo o mensaje con acuse); no es un pulso que MaintainSystem borra en la siguiente vuelta de CELL.
• Prueba en celda con el PLC: (1) style distinto de 1, (2) option no válida, (3) $IN[65] y $IN[66] ambas ON, (4) ambas OFF y después una sola en ON. En cada caso hay mensaje en el smartPAD; en (1) a (3) además $OUT[4] ON hasta el acuse; en (4) el ciclo sigue normal al quedar una sola en ON. Anotar fecha y resultado.
• Comentarios del código cambiado según docs/CONVENTIONS.md (inglés, señal con dirección y nombre); los ;CHECK:/;NOTE:/;WARNING: que citan (F06) se quitan o se actualizan; el cambio está declarado en tools/code_changes.json y tools/check_equivalence.py pasa; ningún encabezado de inline form ni línea dentro de un fold de form cambia sin estar declarado (F32, F21, F31).</t>
        </is>
      </c>
      <c r="I29" s="5" t="inlineStr">
        <is>
          <t>F02</t>
        </is>
      </c>
      <c r="J29" s="6" t="inlineStr">
        <is>
          <t>Abierto</t>
        </is>
      </c>
      <c r="K29" s="6" t="inlineStr"/>
      <c r="L29" s="6" t="inlineStr"/>
      <c r="M29" s="6" t="inlineStr"/>
      <c r="N29" s="6" t="inlineStr"/>
      <c r="O29" s="7" t="inlineStr">
        <is>
          <t>Alta (Ethos)</t>
        </is>
      </c>
      <c r="P29" s="7" t="inlineStr">
        <is>
          <t>2026-10-04</t>
        </is>
      </c>
      <c r="Q29" s="7" t="inlineStr">
        <is>
          <t>Revisión Ethos del respaldo 658424 (v431_03_10_r1.zip del 2026-10-02).</t>
        </is>
      </c>
    </row>
    <row r="30">
      <c r="A30" s="10" t="inlineStr">
        <is>
          <t>F07</t>
        </is>
      </c>
      <c r="B30" s="5" t="inlineStr">
        <is>
          <t>Ethos</t>
        </is>
      </c>
      <c r="C30" s="8" t="inlineStr">
        <is>
          <t>Alto</t>
        </is>
      </c>
      <c r="D30" s="5" t="inlineStr">
        <is>
          <t>Chequeo de gun cerrado: HALT sin mensaje como manejo de falla</t>
        </is>
      </c>
      <c r="E30" s="5" t="inlineStr">
        <is>
          <t>Código + prueba en celda</t>
        </is>
      </c>
      <c r="F30" s="5" t="inlineStr">
        <is>
          <t>Programador robot</t>
        </is>
      </c>
      <c r="G30" s="5" t="inlineStr">
        <is>
          <t>KRC/R1/Program/Centerline/centerline_weld.src</t>
        </is>
      </c>
      <c r="H30" s="5" t="inlineStr">
        <is>
          <t>• En CENTERLINE_WELD no queda HALT en el chequeo de gun cerrado.
• Al vencer el timeout se muestra un diálogo AutomationCore (Set_KrlDlg o equivalente) con $OUT[4] do004ProcessFault ON, que nombra la falla (según CL_GunStrokePositionLPT respecto a la ventana) y ofrece Retry y Abort.
• Retry vuelve a armar el timeout y el tiempo en ventana: un segundo timeout es posible (hecho en oficina para el HALT actual, G11).
• Abort abre el gun ($OUT[472] dopw1_GunWork OFF, $OUT[471] dopw1_GunHome ON) y el clamp ($OUT[501] do501PartClampClose OFF, $OUT[502] do502PartClampOpen ON), no da weld start ($OUT[483] dopw1_WeldInit) para esa tuerca, y la pieza termina en RejectGE4.
• Prueba en T1, sin pieza, sin nadie en el pedestal y con el timer Bosch sin corriente de soldadura: cerrar el gun sin tuerca en el pin: aparece el diálogo; Retry sin corregir hace que el diálogo vuelva a salir; Abort abre gun y clamp. Anotar fecha, valor de CL_GunStrokePositionLPT leído y resultado.
• Comentarios del código cambiado según docs/CONVENTIONS.md (inglés, señal con dirección y nombre); los ;CHECK:/;NOTE:/;WARNING: que citan (F07) se quitan o se actualizan; el cambio está declarado en tools/code_changes.json y tools/check_equivalence.py pasa; ningún encabezado de inline form ni línea dentro de un fold de form cambia sin estar declarado (F32, F21, F31).</t>
        </is>
      </c>
      <c r="I30" s="5" t="inlineStr"/>
      <c r="J30" s="6" t="inlineStr">
        <is>
          <t>Abierto</t>
        </is>
      </c>
      <c r="K30" s="6" t="inlineStr"/>
      <c r="L30" s="6" t="inlineStr"/>
      <c r="M30" s="6" t="inlineStr"/>
      <c r="N30" s="6" t="inlineStr"/>
      <c r="O30" s="7" t="inlineStr">
        <is>
          <t>Auditoría - avance en el original</t>
        </is>
      </c>
      <c r="P30" s="7" t="inlineStr">
        <is>
          <t>2026-10-05</t>
        </is>
      </c>
      <c r="Q30" s="7" t="inlineStr">
        <is>
          <t>En el original del programador los dos timers se reinician después del HALT (igual que la versión de oficina). Sigue sin mensaje y sin do004ProcessFault: el criterio no se cumple completo.</t>
        </is>
      </c>
    </row>
    <row r="31">
      <c r="A31" s="10" t="inlineStr">
        <is>
          <t>F08</t>
        </is>
      </c>
      <c r="B31" s="5" t="inlineStr">
        <is>
          <t>Calvin #2</t>
        </is>
      </c>
      <c r="C31" s="8" t="inlineStr">
        <is>
          <t>Alto</t>
        </is>
      </c>
      <c r="D31" s="5" t="inlineStr">
        <is>
          <t>Resultado de soldadura Bosch no evaluado: weld complete se toma como soldadura buena</t>
        </is>
      </c>
      <c r="E31" s="5" t="inlineStr">
        <is>
          <t>Código + prueba en celda</t>
        </is>
      </c>
      <c r="F31" s="5" t="inlineStr">
        <is>
          <t>Programador robot + Gestamp controles</t>
        </is>
      </c>
      <c r="G31" s="5" t="inlineStr">
        <is>
          <t>KRC/R1/Program/Centerline/centerline_weld.src, KRC/R1/Program/Styles/Options/style1opt1.src</t>
        </is>
      </c>
      <c r="H31" s="5" t="inlineStr">
        <is>
          <t>• Polaridad de $IN[485] confirmada con la lista de I/O de Bosch (documento y página) o con prueba en celda (valor leído con el timer en falla y sin falla), adjunta a la lista.
• En CENTERLINE_WELD, después de $OUT[483] dopw1_WeldInit ON, la espera es $IN[483] dipw1_WeldComplete O falla ($IN[485] con la polaridad confirmada) con timeout; el código usa el nombre de $IN[485] que coincide con esa polaridad.
• En falla o timeout: presión base (CL_GUN_PRESS_BASE, con el orden de bytes que confirme F44), intensify liberado ($OUT[473] dopw1_Nut1Intensify_Home en reposo, $OUT[494] dopw1_BlowOff OFF), $OUT[483] dopw1_WeldInit OFF, gun abierto, mensaje con $OUT[4] do004ProcessFault, y la pieza termina en RejectGE4 aunque después pasen el nut check y la cámara.
• Prueba en celda: provocar una falla del timer Bosch durante una soldadura (o simularla según el manual Bosch): el robot no sigue como soldadura buena, el gun abre, aparece el mensaje y la pieza va a RejectGE4. Anotar fecha, cómo se provocó la falla y resultado.
• Comentarios del código cambiado según docs/CONVENTIONS.md (inglés, señal con dirección y nombre); los ;CHECK:/;NOTE:/;WARNING: que citan (F08) se quitan o se actualizan; el cambio está declarado en tools/code_changes.json y tools/check_equivalence.py pasa; ningún encabezado de inline form ni línea dentro de un fold de form cambia sin estar declarado (F32, F21, F31).</t>
        </is>
      </c>
      <c r="I31" s="5" t="inlineStr">
        <is>
          <t>F44</t>
        </is>
      </c>
      <c r="J31" s="6" t="inlineStr">
        <is>
          <t>Requiere decisión</t>
        </is>
      </c>
      <c r="K31" s="6" t="inlineStr"/>
      <c r="L31" s="6" t="inlineStr"/>
      <c r="M31" s="6" t="inlineStr"/>
      <c r="N31" s="6" t="inlineStr"/>
      <c r="O31" s="7" t="inlineStr">
        <is>
          <t>Alta (Ethos)</t>
        </is>
      </c>
      <c r="P31" s="7" t="inlineStr">
        <is>
          <t>2026-10-04</t>
        </is>
      </c>
      <c r="Q31" s="7" t="inlineStr">
        <is>
          <t>Revisión Ethos del respaldo 658424 (v431_03_10_r1.zip del 2026-10-02).</t>
        </is>
      </c>
    </row>
    <row r="32">
      <c r="A32" s="10" t="inlineStr">
        <is>
          <t>F09</t>
        </is>
      </c>
      <c r="B32" s="5" t="inlineStr">
        <is>
          <t>Ethos</t>
        </is>
      </c>
      <c r="C32" s="8" t="inlineStr">
        <is>
          <t>Alto</t>
        </is>
      </c>
      <c r="D32" s="5" t="inlineStr">
        <is>
          <t>Resultado del flujo de agua descartado; $OUT[475] forzado en ON</t>
        </is>
      </c>
      <c r="E32" s="5" t="inlineStr">
        <is>
          <t>Código + prueba en celda</t>
        </is>
      </c>
      <c r="F32" s="5" t="inlineStr">
        <is>
          <t>Programador robot + Puesta en marcha</t>
        </is>
      </c>
      <c r="G32" s="5" t="inlineStr">
        <is>
          <t>KRC/R1/System/sps.sub, KRC/R1/Program/Centerline/centerline_weld.src, KRC/R1/Program/Centerline/CENTERLINE_HOME.src, KRC/R1/Program/Utilities/gunelectrodechange.src, KRC/R1/System/$config.dat</t>
        </is>
      </c>
      <c r="H32" s="5" t="inlineStr">
        <is>
          <t>• En sps.sub, con SV0500_FLOW bajo el límite la bandera de agua usada por la soldadura queda en FALSE (ya no hay TRUE en las dos ramas); una sola bandera (CL_WaterOK o dipw1_WaterOk) y la otra se quita o se deja documentada.
• En CENTERLINE_WELD, antes de $OUT[483] dopw1_WeldInit ON, existe una espera supervisada (timeout + mensaje + $OUT[4] do004ProcessFault) de agua OK y $IN[475] dipw1_XtfmrTempOk ON; sin ellas no hay weld start.
• En sps.sub, $OUT[475] dopw1_StartWater se escribe en ambos sentidos según $IN[13] di013WaterEnable; una sola lógica decide $OUT[475] (el water-off de CENTERLINE_HOME y de gunelectrodechange se respeta o se quita, y el comentario dice quién manda).
• El límite de SV0500_FLOW (valor y operador) coincide con un valor confirmado por escrito (Gestamp o CenterLine) y el ;CHECK: del límite en sps.sub se elimina.
• Prueba en celda: (1) con $IN[13] OFF, $OUT[475] pasa a OFF; (2) con el agua cerrada el robot no da weld start y muestra mensaje; (3) con agua y transformador normales la soldadura arranca. Anotar fecha y SV0500_FLOW leído con agua normal y con agua cerrada.
• Comentarios del código cambiado según docs/CONVENTIONS.md (inglés, señal con dirección y nombre); los ;CHECK:/;NOTE:/;WARNING: que citan (F09) se quitan o se actualizan; el cambio está declarado en tools/code_changes.json y tools/check_equivalence.py pasa; ningún encabezado de inline form ni línea dentro de un fold de form cambia sin estar declarado (F32, F21, F31).</t>
        </is>
      </c>
      <c r="I32" s="5" t="inlineStr"/>
      <c r="J32" s="6" t="inlineStr">
        <is>
          <t>Abierto</t>
        </is>
      </c>
      <c r="K32" s="6" t="inlineStr"/>
      <c r="L32" s="6" t="inlineStr"/>
      <c r="M32" s="6" t="inlineStr"/>
      <c r="N32" s="6" t="inlineStr"/>
      <c r="O32" s="7" t="inlineStr">
        <is>
          <t>Evidencia parcial</t>
        </is>
      </c>
      <c r="P32" s="7" t="inlineStr">
        <is>
          <t>2026-10-05</t>
        </is>
      </c>
      <c r="Q32" s="7" t="inlineStr">
        <is>
          <t>Respaldo 14:46: nWaterFlow = 233 (23.3 l/min) con agua normal en este robot, arriba del mínimo de 15 l/min. Falta la prueba con agua cerrada y la espera antes del weld start.</t>
        </is>
      </c>
    </row>
    <row r="33">
      <c r="A33" s="10" t="inlineStr">
        <is>
          <t>F10</t>
        </is>
      </c>
      <c r="B33" s="5" t="inlineStr">
        <is>
          <t>Ethos</t>
        </is>
      </c>
      <c r="C33" s="8" t="inlineStr">
        <is>
          <t>Alto</t>
        </is>
      </c>
      <c r="D33" s="5" t="inlineStr">
        <is>
          <t>Sin estado seguro del pedestal al cancelar o resetear el programa</t>
        </is>
      </c>
      <c r="E33" s="5" t="inlineStr">
        <is>
          <t>Código + prueba en celda</t>
        </is>
      </c>
      <c r="F33" s="5" t="inlineStr">
        <is>
          <t>Programador robot</t>
        </is>
      </c>
      <c r="G33" s="5" t="inlineStr">
        <is>
          <t>KRC/R1/System/sps.sub, KRC/R1/cell.src, KRC/R1/Program/Centerline/centerline_weld.src</t>
        </is>
      </c>
      <c r="H33" s="5" t="inlineStr">
        <is>
          <t>• Existe una rutina de estado seguro del pedestal que se ejecuta cuando el programa se cancela ($PRO_STATE1 = #P_FREE) y cuando se resetea ($PRO_STATE1 = #P_RESET).
• La rutina deja: $OUT[483] dopw1_WeldInit OFF, $OUT[481] dopw1_WeldContactEnable OFF, $OUT[482] dopw1_WeldOnExternal OFF, CL_GunPressureCmd = presión base (valor según F44), $OUT[473] dopw1_Nut1Intensify_Home en su reposo, $OUT[494] dopw1_BlowOff OFF, $OUT[476] dopw1_StartFeed OFF.
• La rutina deja además gun abierto y clamp abierto, salvo que la revisión de seguridad de F11 decida por escrito que en cancel/reset no se mueven actuadores sin enabling switch; en ese caso no los toca, el comentario cita esa decisión y la protección es el bloqueo de HOME.
• En cell.src ningún camino llega a InitializeSystem(), HOME() o HomeCheck() mientras el gun no esté abierto (CL_GunStrokePositionLPT &gt; CL_GUN_OPEN_MIN) o el clamp no esté abierto ($IN[466] di466PartClampOpen ON): espera supervisada con mensaje y $OUT[4] do004ProcessFault, sin movimiento.
• Prueba en T1, sin pieza, sin nadie en el pedestal y con el timer Bosch sin corriente: detener CENTERLINE_WELD con el clamp cerrado y cancelar el programa; leer cada salida de la lista. Repetir con reset. Después, con el clamp detectado como no abierto, seleccionar CELL: el robot no se mueve a HOME y muestra mensaje. Anotar fecha y valores leídos.
• Comentarios del código cambiado según docs/CONVENTIONS.md (inglés, señal con dirección y nombre); los ;CHECK:/;NOTE:/;WARNING: que citan (F10) se quitan o se actualizan; el cambio está declarado en tools/code_changes.json y tools/check_equivalence.py pasa; ningún encabezado de inline form ni línea dentro de un fold de form cambia sin estar declarado (F32, F21, F31).</t>
        </is>
      </c>
      <c r="I33" s="5" t="inlineStr">
        <is>
          <t>F11, F44</t>
        </is>
      </c>
      <c r="J33" s="6" t="inlineStr">
        <is>
          <t>Abierto</t>
        </is>
      </c>
      <c r="K33" s="6" t="inlineStr"/>
      <c r="L33" s="6" t="inlineStr"/>
      <c r="M33" s="6" t="inlineStr"/>
      <c r="N33" s="6" t="inlineStr"/>
      <c r="O33" s="7" t="inlineStr">
        <is>
          <t>Alta (Ethos)</t>
        </is>
      </c>
      <c r="P33" s="7" t="inlineStr">
        <is>
          <t>2026-10-04</t>
        </is>
      </c>
      <c r="Q33" s="7" t="inlineStr">
        <is>
          <t>Revisión Ethos del respaldo 658424 (v431_03_10_r1.zip del 2026-10-02).</t>
        </is>
      </c>
    </row>
    <row r="34">
      <c r="A34" s="10" t="inlineStr">
        <is>
          <t>F11</t>
        </is>
      </c>
      <c r="B34" s="5" t="inlineStr">
        <is>
          <t>Ethos</t>
        </is>
      </c>
      <c r="C34" s="11" t="inlineStr">
        <is>
          <t>Crítico</t>
        </is>
      </c>
      <c r="D34" s="5" t="inlineStr">
        <is>
          <t>PRELOAD en el submit mueve el pedestal en cualquier modo, sin dueño de las salidas</t>
        </is>
      </c>
      <c r="E34" s="5" t="inlineStr">
        <is>
          <t>Código + prueba en celda</t>
        </is>
      </c>
      <c r="F34" s="5" t="inlineStr">
        <is>
          <t>Seguridad + Programador robot</t>
        </is>
      </c>
      <c r="G34" s="5" t="inlineStr">
        <is>
          <t>KRC/R1/System/sps.sub, KRC/R1/Program/Centerline/PRELOAD.src, KRC/R1/Program/Centerline/Request_next_nut.src, KRC/R1/Program/Centerline/centerline_weld.src, KRC/R1/Program/Centerline/CENTERLINE_HOME.src, KRC/R1/Program/StylePicks/Options/style1pick1opt1.src, KRC/R1/Program/StylePicks/Options/style1pick1opt2.src, KRC/R1/System/$config.dat</t>
        </is>
      </c>
      <c r="H34" s="5" t="inlineStr">
        <is>
          <t>• Revisión de seguridad documentada (Gestamp / Seguridad) que responde si el aire del pedestal se corta con la puerta abierta, con referencia al plano o a una prueba física con fecha, adjunta a la lista.
• En PRELOAD (o en su llamada en sps.sub), el arranque y los pasos están condicionados a $MODE_OP == #EX, $MOVE_ENABLE TRUE y una bandera de liberación declarada que pone y quita el programa del robot; con la condición en FALSE, PRELOAD no escribe ninguna salida del pedestal.
• Si la condición cae con un preload a medias, el comportamiento está escrito en un comentario de PRELOAD y un preload interrumpido no puede terminar en NUT_READY / NEXT_NUT_READY = TRUE sin haber completado sus pasos.
• PRELOAD no arranca mientras CENTERLINE_WELD o CENTERLINE_HOME están corriendo, y esos programas no escriben válvulas del pedestal mientras NUTCYCLE_ACTIVE es TRUE.
• Un NUT_START recibido con un preload activo no produce una bandera de un solo ciclo de submit que el robot pueda tomar como buena.
• En T1/T2 el ciclo no se queda esperando NUT_READY sin mensaje.
• Prueba en celda, sin nadie en el pedestal: (1) en T1, correr el pick paso a paso hasta pasar P12 y soltar el enabling switch: el pedestal no se mueve; (2) con CELL cancelado, poner NUT_START = TRUE desde la pantalla de variables: el pedestal no se mueve; (3) en automático externo, un ciclo productivo completo alimenta y suelda las 3 tuercas. Anotar fecha y resultado.
• Comentarios del código cambiado según docs/CONVENTIONS.md (inglés, señal con dirección y nombre); los ;CHECK:/;NOTE:/;WARNING: que citan (F11) se quitan o se actualizan; el cambio está declarado en tools/code_changes.json y tools/check_equivalence.py pasa; ningún encabezado de inline form ni línea dentro de un fold de form cambia sin estar declarado (F32, F21, F31).</t>
        </is>
      </c>
      <c r="I34" s="5" t="inlineStr"/>
      <c r="J34" s="6" t="inlineStr">
        <is>
          <t>Requiere decisión</t>
        </is>
      </c>
      <c r="K34" s="6" t="inlineStr"/>
      <c r="L34" s="6" t="inlineStr"/>
      <c r="M34" s="6" t="inlineStr"/>
      <c r="N34" s="6" t="inlineStr"/>
      <c r="O34" s="7" t="inlineStr">
        <is>
          <t>Alta (Ethos)</t>
        </is>
      </c>
      <c r="P34" s="7" t="inlineStr">
        <is>
          <t>2026-10-04</t>
        </is>
      </c>
      <c r="Q34" s="7" t="inlineStr">
        <is>
          <t>Revisión Ethos del respaldo 658424 (v431_03_10_r1.zip del 2026-10-02).</t>
        </is>
      </c>
    </row>
    <row r="35">
      <c r="A35" s="10" t="inlineStr">
        <is>
          <t>F12</t>
        </is>
      </c>
      <c r="B35" s="5" t="inlineStr">
        <is>
          <t>Ethos</t>
        </is>
      </c>
      <c r="C35" s="8" t="inlineStr">
        <is>
          <t>Alto</t>
        </is>
      </c>
      <c r="D35" s="5" t="inlineStr">
        <is>
          <t>Background de AutomationCore y NutWeld deshabilitado: los bits de estado al PLC no cambian</t>
        </is>
      </c>
      <c r="E35" s="5" t="inlineStr">
        <is>
          <t>Decisión Gestamp</t>
        </is>
      </c>
      <c r="F35" s="5" t="inlineStr">
        <is>
          <t>Gestamp controles + Programador robot</t>
        </is>
      </c>
      <c r="G35" s="5" t="inlineStr">
        <is>
          <t>KRC/R1/System/sps.sub, KRC/R1/TP/AutomationCore/automationcoreroutines.src, KRC/R1/TP/NutWeld/nutweldroutines.src, KRC/R1/System/$config.dat, KRC/R1/Program/Utilities/pouncetohome.src, KRC/R1/Program/Utilities/gunelectrodechange.src, KRC/R1/cell.src</t>
        </is>
      </c>
      <c r="H35" s="5" t="inlineStr">
        <is>
          <t>• Decisión escrita de Gestamp (nombre, fecha): reactivar AutomationCore_BKG y/o NutWeld_BKG, o reproducir los bits en sps.sub.
• Si se reactiva AutomationCore_BKG: F35 está cerrado antes; en automationcoreroutines.src ya no hay escrituras de weld enable por dry cycle ni de $OUT[475] que contradigan F09; cada cambio en el archivo del proveedor queda en la lista de C28.
• Si se reactiva NutWeld_BKG: F17 está cerrado antes (nombres de pistola 2/3 traslapados con CL_GunPressureCmd).
• Si se reproducen en sps.sub: se escriben en cada ciclo $OUT[21], $OUT[22], $OUT[6], $OUT[7], $OUT[46], los bits de nodo de bus que Gestamp pida, $OUT[146], $OUT[145] doCriticalWZ, el nivel de tolva y la petición de cambio de electrodo que se acuerde en F43, con la lógica aprobada por escrito.
• En cualquier caso, $OUT[145] doCriticalWZ está en TRUE (entrada no permitida) mientras CENTERLINE_WELD corre o PRELOAD está activo.
• Prueba en celda: verificar desde el PLC cada bit que se pueda provocar (p. ej. override &lt; 100 % en automático externo; una solicitud de entrada durante CENTERLINE_WELD no recibe permiso); los demás se revisan en código. Anotar fecha y resultado por bit.
• Comentarios del código cambiado según docs/CONVENTIONS.md (inglés, señal con dirección y nombre); los ;CHECK:/;NOTE:/;WARNING: que citan (F12) se quitan o se actualizan; el cambio está declarado en tools/code_changes.json y tools/check_equivalence.py pasa; ningún encabezado de inline form ni línea dentro de un fold de form cambia sin estar declarado (F32, F21, F31).</t>
        </is>
      </c>
      <c r="I35" s="5" t="inlineStr">
        <is>
          <t>F17, F35</t>
        </is>
      </c>
      <c r="J35" s="6" t="inlineStr">
        <is>
          <t>Requiere decisión</t>
        </is>
      </c>
      <c r="K35" s="6" t="inlineStr"/>
      <c r="L35" s="6" t="inlineStr"/>
      <c r="M35" s="6" t="inlineStr"/>
      <c r="N35" s="6" t="inlineStr"/>
      <c r="O35" s="7" t="inlineStr">
        <is>
          <t>Integrado - pendiente decisión</t>
        </is>
      </c>
      <c r="P35" s="7" t="inlineStr">
        <is>
          <t>2026-10-05</t>
        </is>
      </c>
      <c r="Q35" s="7" t="inlineStr">
        <is>
          <t>AutomationCore_BKG queda activo en la versión integrada, como lo dejó el programador. Falta la decisión de Gestamp (F49).</t>
        </is>
      </c>
    </row>
    <row r="36">
      <c r="A36" s="10" t="inlineStr">
        <is>
          <t>F13</t>
        </is>
      </c>
      <c r="B36" s="5" t="inlineStr">
        <is>
          <t>Calvin #6</t>
        </is>
      </c>
      <c r="C36" s="4" t="inlineStr">
        <is>
          <t>Medio</t>
        </is>
      </c>
      <c r="D36" s="5" t="inlineStr">
        <is>
          <t>PRELOAD sin timeouts por paso, sin falla y banderas de tuerca lista sin confirmar alimentación</t>
        </is>
      </c>
      <c r="E36" s="5" t="inlineStr">
        <is>
          <t>Código + prueba en celda</t>
        </is>
      </c>
      <c r="F36" s="5" t="inlineStr">
        <is>
          <t>Programador robot</t>
        </is>
      </c>
      <c r="G36" s="5" t="inlineStr">
        <is>
          <t>KRC/R1/Program/Centerline/PRELOAD.src, KRC/R1/System/$config.dat, KRC/R1/Program/StyleApps/Options/style1app1opt1.src, KRC/R1/Program/StyleApps/Options/style1app1opt2.src, KRC/R1/Program/StyleApps/Options/style1app1opt3.src</t>
        </is>
      </c>
      <c r="H36" s="5" t="inlineStr">
        <is>
          <t>• En PRELOAD toda condición que la secuencia espera (QFP regresado/avanzado en los pasos 0 y 10, QFP regresado al final del paso 20, $IN[481] dipw1_FeedComplt) tiene timeout; al vencer: NUT_PRELOAD_FAULT = TRUE, queda registrado el paso y la señal, y la secuencia no pone NUT_READY ni NEXT_NUT_READY.
• PRELOAD no contiene WAIT FOR ni WAIT SEC (corre en el submit).
• Existe al menos una asignación NUT_PRELOAD_FAULT = TRUE en código activo, y la falla solo se borra en un punto definido (reset del operador o rutina de reset), dicho en el comentario.
• Fuera de dry cycle, NUT_READY / NEXT_NUT_READY = TRUE solo con $IN[481] visto ON durante la alimentación, $IN[480] en nivel OK (polaridad confirmada) y QFP regresado confirmado al final del paso 20.
• En style1app1opt1..3 la espera previa al LIN de aproximación termina con la bandera de tuerca lista o con NUT_PRELOAD_FAULT; con falla hay mensaje, $OUT[4] do004ProcessFault ON y el robot no ejecuta el LIN de aproximación.
• Prueba en celda: (a) tolva vacía o alimentador apagado: no hay tuerca lista, aparece el mensaje y el robot no entra al pedestal; (b) aire del QFP cerrado: timeout del paso con mensaje. Anotar fecha, timeout y texto del mensaje.
• Comentarios del código cambiado según docs/CONVENTIONS.md (inglés, señal con dirección y nombre); los ;CHECK:/;NOTE:/;WARNING: que citan (F13) se quitan o se actualizan; el cambio está declarado en tools/code_changes.json y tools/check_equivalence.py pasa; ningún encabezado de inline form ni línea dentro de un fold de form cambia sin estar declarado (F32, F21, F31).</t>
        </is>
      </c>
      <c r="I36" s="5" t="inlineStr">
        <is>
          <t>F01, F11</t>
        </is>
      </c>
      <c r="J36" s="6" t="inlineStr">
        <is>
          <t>Abierto</t>
        </is>
      </c>
      <c r="K36" s="6" t="inlineStr"/>
      <c r="L36" s="6" t="inlineStr"/>
      <c r="M36" s="6" t="inlineStr"/>
      <c r="N36" s="6" t="inlineStr"/>
      <c r="O36" s="7" t="inlineStr">
        <is>
          <t>Alta (Ethos)</t>
        </is>
      </c>
      <c r="P36" s="7" t="inlineStr">
        <is>
          <t>2026-10-04</t>
        </is>
      </c>
      <c r="Q36" s="7" t="inlineStr">
        <is>
          <t>Revisión Ethos del respaldo 658424 (v431_03_10_r1.zip del 2026-10-02).</t>
        </is>
      </c>
    </row>
    <row r="37">
      <c r="A37" s="10" t="inlineStr">
        <is>
          <t>F14</t>
        </is>
      </c>
      <c r="B37" s="5" t="inlineStr">
        <is>
          <t>Calvin #11</t>
        </is>
      </c>
      <c r="C37" s="4" t="inlineStr">
        <is>
          <t>Medio</t>
        </is>
      </c>
      <c r="D37" s="5" t="inlineStr">
        <is>
          <t>NUT_READY no se consume al soldar; la siguiente tuerca depende solo de TRIGGERs</t>
        </is>
      </c>
      <c r="E37" s="5" t="inlineStr">
        <is>
          <t>Código + prueba en celda</t>
        </is>
      </c>
      <c r="F37" s="5" t="inlineStr">
        <is>
          <t>Programador robot</t>
        </is>
      </c>
      <c r="G37" s="5" t="inlineStr">
        <is>
          <t>KRC/R1/Program/Centerline/centerline_weld.src, KRC/R1/Program/Centerline/PRELOAD.src, KRC/R1/Program/Centerline/Request_next_nut.src,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KRC/R1/System/$config.dat</t>
        </is>
      </c>
      <c r="H37" s="5" t="inlineStr">
        <is>
          <t>• En CENTERLINE_WELD después de $IN[483] dipw1_WeldComplete, o inmediatamente después de CENTERLINE_WELD() en style1app1opt1..3, existe NUT_READY = FALSE (y la bandera que usen las tuercas 2 y 3) antes de salir del pedestal.
• La petición de la tuerca 1 (picks) y de las tuercas 2 y 3 (final de style1app1opt1 y opt2) existe como instrucción en el flujo, fuera de TRIGGER, precedida de un paro de advance run; en las apps va después del movimiento que saca pieza y EOAT del alcance del QFP y de los pines.
• En PRELOAD una petición que llega con preload activo o con tuerca cargada sin consumir no arranca otra alimentación.
• Antes de alimentar se confirma pin vacío: por sensor si existe (nombre y dirección), o por estado si se confirma en sitio que no hay sensor; el comentario del paso dice cuál.
• El pick red rabbit no pide preload, o la lista anota por qué sí.
• Prueba en celda: (a) cancelar el ciclo con tuerca precargada y reiniciar desde home: no hay doble tuerca; (b) cancelar después de soldar la tuerca 1 y reiniciar con selección de paso en style1app1opt2: el robot no entra a soldar sin preload nuevo. Anotar fecha y resultado.
• Comentarios del código cambiado según docs/CONVENTIONS.md (inglés, señal con dirección y nombre); los ;CHECK:/;NOTE:/;WARNING: que citan (F14) se quitan o se actualizan; el cambio está declarado en tools/code_changes.json y tools/check_equivalence.py pasa; ningún encabezado de inline form ni línea dentro de un fold de form cambia sin estar declarado (F32, F21, F31).</t>
        </is>
      </c>
      <c r="I37" s="5" t="inlineStr">
        <is>
          <t>F11, F25, F32, F38</t>
        </is>
      </c>
      <c r="J37" s="6" t="inlineStr">
        <is>
          <t>Abierto</t>
        </is>
      </c>
      <c r="K37" s="6" t="inlineStr"/>
      <c r="L37" s="6" t="inlineStr"/>
      <c r="M37" s="6" t="inlineStr"/>
      <c r="N37" s="6" t="inlineStr"/>
      <c r="O37" s="7" t="inlineStr">
        <is>
          <t>Alta (Ethos)</t>
        </is>
      </c>
      <c r="P37" s="7" t="inlineStr">
        <is>
          <t>2026-10-04</t>
        </is>
      </c>
      <c r="Q37" s="7" t="inlineStr">
        <is>
          <t>Revisión Ethos del respaldo 658424 (v431_03_10_r1.zip del 2026-10-02).</t>
        </is>
      </c>
    </row>
    <row r="38">
      <c r="A38" s="10" t="inlineStr">
        <is>
          <t>F15</t>
        </is>
      </c>
      <c r="B38" s="5" t="inlineStr">
        <is>
          <t>Calvin #1</t>
        </is>
      </c>
      <c r="C38" s="4" t="inlineStr">
        <is>
          <t>Medio</t>
        </is>
      </c>
      <c r="D38" s="5" t="inlineStr">
        <is>
          <t>Unos 35 WAIT FOR sobre entradas de proceso sin timeout ni mensaje</t>
        </is>
      </c>
      <c r="E38" s="5" t="inlineStr">
        <is>
          <t>Código + prueba en celda</t>
        </is>
      </c>
      <c r="F38" s="5" t="inlineStr">
        <is>
          <t>Programador robot</t>
        </is>
      </c>
      <c r="G38" s="5" t="inlineStr">
        <is>
          <t>KRC/R1/Program/Centerline/centerline_weld.src,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KRC/R1/Program/StyleApps/Options/style1app2opt2.src, KRC/R1/cell.src, KRC/R1/Program/Centerline/CENTERLINE_HOME.src, KRC/R1/Program/Utilities/gunelectrodechange.src</t>
        </is>
      </c>
      <c r="H38" s="5" t="inlineStr">
        <is>
          <t>• En los módulos listados no queda espera sin timeout sobre $IN[466], $IN[467], $IN[470], $IN[479] dipw1_IntensfPresOk, $IN[482], $IN[483], $IN[484], CL_GunStrokePositionLPT, NUT_READY, NEXT_NUT_READY, $IN[80] di080ToolRepositioned1 ni $IN[253]/$IN[254].
• Al vencer un timeout: $OUT[4] do004ProcessFault ON, mensaje que nombra la señal con dirección, y el programa no continúa sin la condición (reintento o abort explícito).
• En CENTERLINE_WELD y CENTERLINE_HOME el abort de una espera vencida deja el pedestal abierto: primero $OUT[483] dopw1_WeldInit OFF, luego gun abierto y clamp abierto.
• En cell.src la espera de $IN[8] di008ReturnFromRepair tiene al menos mensaje de espera que nombra la señal.
• La lista trae una tabla módulo / señal / timeout (s) / reacción que coincide con el código del respaldo.
• Prueba en T1: provocar una espera vencida por grupo: pedestal (clamp sin aire), intensificado ($IN[479]), cámara ($IN[80] sin respuesta), Bosch (ready ausente) y gripper (pieza presente); anotar mensaje, $OUT[4] y fecha.
• Comentarios del código cambiado según docs/CONVENTIONS.md (inglés, señal con dirección y nombre); los ;CHECK:/;NOTE:/;WARNING: que citan (F15) se quitan o se actualizan; el cambio está declarado en tools/code_changes.json y tools/check_equivalence.py pasa; ningún encabezado de inline form ni línea dentro de un fold de form cambia sin estar declarado (F32, F21, F31).</t>
        </is>
      </c>
      <c r="I38" s="5" t="inlineStr">
        <is>
          <t>F01, F07, F10</t>
        </is>
      </c>
      <c r="J38" s="6" t="inlineStr">
        <is>
          <t>Abierto</t>
        </is>
      </c>
      <c r="K38" s="6" t="inlineStr"/>
      <c r="L38" s="6" t="inlineStr"/>
      <c r="M38" s="6" t="inlineStr"/>
      <c r="N38" s="6" t="inlineStr"/>
      <c r="O38" s="7" t="inlineStr">
        <is>
          <t>Alta (Ethos)</t>
        </is>
      </c>
      <c r="P38" s="7" t="inlineStr">
        <is>
          <t>2026-10-04</t>
        </is>
      </c>
      <c r="Q38" s="7" t="inlineStr">
        <is>
          <t>Revisión Ethos del respaldo 658424 (v431_03_10_r1.zip del 2026-10-02).</t>
        </is>
      </c>
    </row>
    <row r="39">
      <c r="A39" s="10" t="inlineStr">
        <is>
          <t>F16</t>
        </is>
      </c>
      <c r="B39" s="5" t="inlineStr">
        <is>
          <t>Ethos</t>
        </is>
      </c>
      <c r="C39" s="4" t="inlineStr">
        <is>
          <t>Medio</t>
        </is>
      </c>
      <c r="D39" s="5" t="inlineStr">
        <is>
          <t>Posición del pin superior nunca verificada</t>
        </is>
      </c>
      <c r="E39" s="5" t="inlineStr">
        <is>
          <t>Código + prueba en celda</t>
        </is>
      </c>
      <c r="F39" s="5" t="inlineStr">
        <is>
          <t>Programador robot / Puesta en marcha</t>
        </is>
      </c>
      <c r="G39" s="5" t="inlineStr">
        <is>
          <t>KRC/R1/Program/Centerline/centerline_weld.src, KRC/R1/System/$config.dat, KRC/R1/System/sps.sub</t>
        </is>
      </c>
      <c r="H39" s="5" t="inlineStr">
        <is>
          <t>• En CENTERLINE_WELD, antes de dopw1_WeldInit = TRUE, hay espera supervisada (timeout + mensaje + $OUT[4] do004ProcessFault) de CL_WeldPinPosition dentro de CL_PIN_WELD_MIN..CL_PIN_WELD_MAX.
• Después del comando de retraer ($OUT[499] do499UpperPinRetract ON) y antes del END hay espera supervisada de CL_WeldPinPosition dentro de una ventana de retraído declarada como constantes en $config.dat.
• Las ventanas coinciden con los valores medidos anotados en la lista (la tabla del encabezado da retraído 27252, extendido 6602, soldadura 11674) y no se traslapan; la tabla del encabezado coincide con las constantes.
• Las ventanas del gun usan CL_GUN_WELD_MIN/MAX y CL_GUN_OPEN_MIN (hecho en oficina, G16).
• Prueba en celda en T1: provocar que el pin superior no llegue a la ventana de soldadura: no hay weld start y aparece el mensaje; anotar fecha y resultado.
• Comentarios del código cambiado según docs/CONVENTIONS.md (inglés, señal con dirección y nombre); los ;CHECK:/;NOTE:/;WARNING: que citan (F16) se quitan o se actualizan; el cambio está declarado en tools/code_changes.json y tools/check_equivalence.py pasa; ningún encabezado de inline form ni línea dentro de un fold de form cambia sin estar declarado (F32, F21, F31).</t>
        </is>
      </c>
      <c r="I39" s="5" t="inlineStr">
        <is>
          <t>F27</t>
        </is>
      </c>
      <c r="J39" s="6" t="inlineStr">
        <is>
          <t>Abierto</t>
        </is>
      </c>
      <c r="K39" s="6" t="inlineStr"/>
      <c r="L39" s="6" t="inlineStr"/>
      <c r="M39" s="6" t="inlineStr"/>
      <c r="N39" s="6" t="inlineStr"/>
      <c r="O39" s="7" t="inlineStr">
        <is>
          <t>Alta (Ethos)</t>
        </is>
      </c>
      <c r="P39" s="7" t="inlineStr">
        <is>
          <t>2026-10-04</t>
        </is>
      </c>
      <c r="Q39" s="7" t="inlineStr">
        <is>
          <t>Revisión Ethos del respaldo 658424 (v431_03_10_r1.zip del 2026-10-02).</t>
        </is>
      </c>
    </row>
    <row r="40">
      <c r="A40" s="10" t="inlineStr">
        <is>
          <t>F17</t>
        </is>
      </c>
      <c r="B40" s="5" t="inlineStr">
        <is>
          <t>Ethos</t>
        </is>
      </c>
      <c r="C40" s="4" t="inlineStr">
        <is>
          <t>Medio</t>
        </is>
      </c>
      <c r="D40" s="5" t="inlineStr">
        <is>
          <t>Declaraciones traslapadas; nombres dobles en los bits del pedestal</t>
        </is>
      </c>
      <c r="E40" s="5" t="inlineStr">
        <is>
          <t>Código</t>
        </is>
      </c>
      <c r="F40" s="5" t="inlineStr">
        <is>
          <t>Programador robot</t>
        </is>
      </c>
      <c r="G40" s="5" t="inlineStr">
        <is>
          <t>KRC/R1/System/$config.dat, KRC/R1/TP/AutomationCore/automationcoreroutines.dat, KRC/R1/TP/NutWeld/nutweldroutines.dat</t>
        </is>
      </c>
      <c r="H40" s="5" t="inlineStr">
        <is>
          <t>• $IN[466], $IN[467], $IN[470], $OUT[498], $OUT[499] y $OUT[501..505] tienen nombre AutomationCore y el código del pedestal no usa direcciones literales (hecho en oficina, G12).
• Las declaraciones de pistola 2/3 que se traslapan con CL_GunPressureCmd, CL_LPT_BYTE0..3 y CL_PIN_BYTE0/1 y los nombres Spare de $IN[466/467/470] llevan comentario de retirados, y ningún programa del integrador los lee ni escribe.
• $OUT[477]/$OUT[478]: el comentario de la declaración dice cuál nombre es el correcto (confirmado con F29).
• $OUT[500] recibe nombre después de confirmar en celda qué mueve, o deja de usarse.
• Ninguna dirección cambió; cada edición en archivos del proveedor (automationcoreroutines.dat, nutweldroutines.dat) aparece en la lista de C28.
• Comentarios del código cambiado según docs/CONVENTIONS.md (inglés, señal con dirección y nombre); los ;CHECK:/;NOTE:/;WARNING: que citan (F17) se quitan o se actualizan; el cambio está declarado en tools/code_changes.json y tools/check_equivalence.py pasa; ningún encabezado de inline form ni línea dentro de un fold de form cambia sin estar declarado (F32, F21, F31).</t>
        </is>
      </c>
      <c r="I40" s="5" t="inlineStr">
        <is>
          <t>F29</t>
        </is>
      </c>
      <c r="J40" s="6" t="inlineStr">
        <is>
          <t>Abierto</t>
        </is>
      </c>
      <c r="K40" s="6" t="inlineStr"/>
      <c r="L40" s="6" t="inlineStr"/>
      <c r="M40" s="6" t="inlineStr"/>
      <c r="N40" s="6" t="inlineStr"/>
      <c r="O40" s="7" t="inlineStr">
        <is>
          <t>Alta (Ethos)</t>
        </is>
      </c>
      <c r="P40" s="7" t="inlineStr">
        <is>
          <t>2026-10-04</t>
        </is>
      </c>
      <c r="Q40" s="7" t="inlineStr">
        <is>
          <t>Revisión Ethos del respaldo 658424 (v431_03_10_r1.zip del 2026-10-02).</t>
        </is>
      </c>
    </row>
    <row r="41">
      <c r="A41" s="10" t="inlineStr">
        <is>
          <t>F18</t>
        </is>
      </c>
      <c r="B41" s="5" t="inlineStr">
        <is>
          <t>Ethos</t>
        </is>
      </c>
      <c r="C41" s="4" t="inlineStr">
        <is>
          <t>Medio</t>
        </is>
      </c>
      <c r="D41" s="5" t="inlineStr">
        <is>
          <t>KRC_IO.xml mapea $OUT[820..979] y $IN[820..930] sobre los mismos bytes del adapter PLC</t>
        </is>
      </c>
      <c r="E41" s="5" t="inlineStr">
        <is>
          <t>WorkVisual / configuración</t>
        </is>
      </c>
      <c r="F41" s="5" t="inlineStr">
        <is>
          <t>Gestamp controles / Programador robot</t>
        </is>
      </c>
      <c r="G41" s="5" t="inlineStr">
        <is>
          <t>C/KRC/Roboter/Config/User/Common/KRC_IO.xml, KRC/R1/Program/masref_user.src, KRC/R1/Program/Utilities/gunelectrodechange.src, KRC/R1/TP/AutomationCore/automationcoreroutines.dat, KRC/R1/TP/BrakeTest/braketeststart.src, KRC/R1/TP/BrakeTest/braketestback.src</t>
        </is>
      </c>
      <c r="H41" s="5" t="inlineStr">
        <is>
          <t>• En KRC_IO.xml no hay dos entradas &lt;Out&gt; ni dos &lt;In&gt; que cubran los mismos bits del mismo segmento EIP-ADAPTER.
• do930MasterRefInProcess, do931BrakeTestInProcess, di823ToolIDBit0 y di825ToolIDBit1 están en bits propios del mapa acordado, o ningún código activo los usa.
• El tamaño de assembly acordado con Gestamp está en la lista (captura de WorkVisual).
• Prueba fuera de ciclo: correr el mastering reference y confirmar en el PLC que el tag de $OUT[111] no cambia; cambiar $IN[4] desde el PLC y confirmar que di823ToolIDBit0 no lo sigue. Anotar fecha.
• Comentarios del código cambiado según docs/CONVENTIONS.md (inglés, señal con dirección y nombre); los ;CHECK:/;NOTE:/;WARNING: que citan (F18) se quitan o se actualizan; el cambio está declarado en tools/code_changes.json y tools/check_equivalence.py pasa; ningún encabezado de inline form ni línea dentro de un fold de form cambia sin estar declarado (F32, F21, F31).</t>
        </is>
      </c>
      <c r="I41" s="5" t="inlineStr">
        <is>
          <t>F35</t>
        </is>
      </c>
      <c r="J41" s="6" t="inlineStr">
        <is>
          <t>Requiere decisión</t>
        </is>
      </c>
      <c r="K41" s="6" t="inlineStr"/>
      <c r="L41" s="6" t="inlineStr"/>
      <c r="M41" s="6" t="inlineStr"/>
      <c r="N41" s="6" t="inlineStr"/>
      <c r="O41" s="7" t="inlineStr">
        <is>
          <t>Alta (Ethos)</t>
        </is>
      </c>
      <c r="P41" s="7" t="inlineStr">
        <is>
          <t>2026-10-04</t>
        </is>
      </c>
      <c r="Q41" s="7" t="inlineStr">
        <is>
          <t>Revisión Ethos del respaldo 658424 (v431_03_10_r1.zip del 2026-10-02).</t>
        </is>
      </c>
    </row>
    <row r="42">
      <c r="A42" s="10" t="inlineStr">
        <is>
          <t>F19</t>
        </is>
      </c>
      <c r="B42" s="5" t="inlineStr">
        <is>
          <t>Calvin #26</t>
        </is>
      </c>
      <c r="C42" s="8" t="inlineStr">
        <is>
          <t>Alto</t>
        </is>
      </c>
      <c r="D42" s="5" t="inlineStr">
        <is>
          <t>Red rabbit: el ciclo no puede dar resultado y suelta la pieza por un mapeo duplicado</t>
        </is>
      </c>
      <c r="E42" s="5" t="inlineStr">
        <is>
          <t>Código + prueba en celda</t>
        </is>
      </c>
      <c r="F42" s="5" t="inlineStr">
        <is>
          <t>Programador robot / Gestamp controles</t>
        </is>
      </c>
      <c r="G42" s="5" t="inlineStr">
        <is>
          <t>KRC/R1/Program/Styles/Options/Style1Opt10AutoRR.src, KRC/R1/Program/StylePicks/Options/style1pick1opt1AutoRR.src, KRC/R1/Program/StyleDrops/Options/style1drop1opt2AutoRR.src, KRC/R1/Program/StyleApps/Options/style1app2opt1.src, KRC/R1/Program/StyleApps/Options/style1app2opt2.src, KRC/R1/TP/GripperSpotTech/grp_data.dat</t>
        </is>
      </c>
      <c r="H42" s="5" t="inlineStr">
        <is>
          <t>• Procedimiento red rabbit de Gestamp por escrito (option, pieza, resultado esperado de cada chequeo), adjunto.
• Para la option red rabbit el resultado sale de una sola evaluación que combina sensor y cámara y asigna las dos salidas en el mismo punto: exactamente una de $OUT[141] / $OUT[142] en TRUE y la otra en FALSE; resultado contradictorio, parcial o cámara sin respuesta dan Failed.
• El veredicto se mantiene hasta que el PLC lo lee (con el handshake de fin de ciclo que decida F46); ya no se borra en style1drop1opt2AutoRR antes del fin del ciclo.
• style1drop1opt2AutoRR suelta con un form GripperTech del gripper 1 (GRPg_SetStateAndCheck(1, 1, ...)), sin salidas $OUT[249]/$OUT[250] escritas a mano ni forms del gripper 3, y espera gripper vacío ($IN[253] y $IN[254] OFF) antes de LIN P23.
• Prueba en celda: correr el red rabbit con la pieza red rabbit y otra vez con una pieza buena de 3 tuercas; anotar qué ve el PLC en $OUT[141]/$OUT[142] al final del ciclo (esperado: Passed con la red rabbit, Failed con la buena) y que la pieza se suelta y el robot no se mueve antes de gripper vacío. Fecha.
• Comentarios del código cambiado según docs/CONVENTIONS.md (inglés, señal con dirección y nombre); los ;CHECK:/;NOTE:/;WARNING: que citan (F19) se quitan o se actualizan; el cambio está declarado en tools/code_changes.json y tools/check_equivalence.py pasa; ningún encabezado de inline form ni línea dentro de un fold de form cambia sin estar declarado (F32, F21, F31).</t>
        </is>
      </c>
      <c r="I42" s="5" t="inlineStr">
        <is>
          <t>F46, F31, F40, F03</t>
        </is>
      </c>
      <c r="J42" s="6" t="inlineStr">
        <is>
          <t>Requiere decisión</t>
        </is>
      </c>
      <c r="K42" s="6" t="inlineStr"/>
      <c r="L42" s="6" t="inlineStr"/>
      <c r="M42" s="6" t="inlineStr"/>
      <c r="N42" s="6" t="inlineStr"/>
      <c r="O42" s="7" t="inlineStr">
        <is>
          <t>Integrado - avance parcial</t>
        </is>
      </c>
      <c r="P42" s="7" t="inlineStr">
        <is>
          <t>2026-10-05</t>
        </is>
      </c>
      <c r="Q42" s="7" t="inlineStr">
        <is>
          <t>Option 12 ya pone $OUT[141]/$OUT[142] en sensor y cámara. Falta el veredicto único y que el drop no lo borre antes de que el PLC lo lea.</t>
        </is>
      </c>
    </row>
    <row r="43">
      <c r="A43" s="10" t="inlineStr">
        <is>
          <t>F20</t>
        </is>
      </c>
      <c r="B43" s="5" t="inlineStr">
        <is>
          <t>Ethos</t>
        </is>
      </c>
      <c r="C43" s="4" t="inlineStr">
        <is>
          <t>Medio</t>
        </is>
      </c>
      <c r="D43" s="5" t="inlineStr">
        <is>
          <t>Reject sin permiso del PLC para la posición de rechazo; Application 1 sin liberar</t>
        </is>
      </c>
      <c r="E43" s="5" t="inlineStr">
        <is>
          <t>Código + prueba en celda</t>
        </is>
      </c>
      <c r="F43" s="5" t="inlineStr">
        <is>
          <t>Programador robot / Gestamp controles</t>
        </is>
      </c>
      <c r="G43" s="5" t="inlineStr">
        <is>
          <t>KRC/R1/Program/Utilities/RejectGE4.src, KRC/R1/Program/Styles/Options/style1opt1.src, KRC/R1/Program/StyleApps/Options/style1app2opt2.src</t>
        </is>
      </c>
      <c r="H43" s="5" t="inlineStr">
        <is>
          <t>• En Style1Opt1, en el camino de rechazo por nut check se ejecuta AC_Application(1,TRUE) (o lo que pone $OUT[70] do070ApplicationClear1 ON) antes de que termine el ciclo; todo camino que pasó por AC_ApplicationCheck(1) tiene su liberación.
• En RejectGE4, antes de LIN P23, hay petición de permiso con el número acordado (AC_DropOffCheck(n) o zona) con espera y mensaje, y su liberación después de salir de la posición (P24 o después).
• Si se agregan inline forms AutomationCore, su AC_CmdParam oculto corresponde a la llamada según la convención de F21.
• Prueba en celda: con el permiso de rechazo apagado en el PLC el robot se detiene antes de P23 con mensaje y continúa al darlo; después de un rechazo por nut check el PLC ve $OUT[70] ON al terminar el ciclo. Anotar fecha y resultado.
• Comentarios del código cambiado según docs/CONVENTIONS.md (inglés, señal con dirección y nombre); los ;CHECK:/;NOTE:/;WARNING: que citan (F20) se quitan o se actualizan; el cambio está declarado en tools/code_changes.json y tools/check_equivalence.py pasa; ningún encabezado de inline form ni línea dentro de un fold de form cambia sin estar declarado (F32, F21, F31).</t>
        </is>
      </c>
      <c r="I43" s="5" t="inlineStr">
        <is>
          <t>F21</t>
        </is>
      </c>
      <c r="J43" s="6" t="inlineStr">
        <is>
          <t>Requiere decisión</t>
        </is>
      </c>
      <c r="K43" s="6" t="inlineStr"/>
      <c r="L43" s="6" t="inlineStr"/>
      <c r="M43" s="6" t="inlineStr"/>
      <c r="N43" s="6" t="inlineStr"/>
      <c r="O43" s="7" t="inlineStr">
        <is>
          <t>Alta (Ethos)</t>
        </is>
      </c>
      <c r="P43" s="7" t="inlineStr">
        <is>
          <t>2026-10-04</t>
        </is>
      </c>
      <c r="Q43" s="7" t="inlineStr">
        <is>
          <t>Revisión Ethos del respaldo 658424 (v431_03_10_r1.zip del 2026-10-02).</t>
        </is>
      </c>
    </row>
    <row r="44">
      <c r="A44" s="10" t="inlineStr">
        <is>
          <t>F21</t>
        </is>
      </c>
      <c r="B44" s="5" t="inlineStr">
        <is>
          <t>Ethos</t>
        </is>
      </c>
      <c r="C44" s="4" t="inlineStr">
        <is>
          <t>Medio</t>
        </is>
      </c>
      <c r="D44" s="5" t="inlineStr">
        <is>
          <t>Parámetros ocultos de inline forms AutomationCore no coinciden con la llamada</t>
        </is>
      </c>
      <c r="E44" s="5" t="inlineStr">
        <is>
          <t>Código + prueba en celda</t>
        </is>
      </c>
      <c r="F44" s="5" t="inlineStr">
        <is>
          <t>Programador robot</t>
        </is>
      </c>
      <c r="G44" s="5" t="inlineStr">
        <is>
          <t>KRC/R1/Program/StylePicks/Options/style1pick1opt2.src, KRC/R1/Program/StyleApps/Options/style1app2opt2.src, KRC/R1/Program/StyleDrops/Options/style1drop1opt1.src, KRC/R1/Program/StyleDrops/Options/style1drop1opt2AutoRR.src, KRC/R1/Program/StylePicks/Options/style1pick1opt1.src, KRC/R1/Program/StylePicks/Options/style1pick1opt1AutoRR.src, KRC/R1/Program/StyleApps/Options/style1app2opt1.src</t>
        </is>
      </c>
      <c r="H44" s="5" t="inlineStr">
        <is>
          <t>• La convención queda anotada en la lista para cada tipo de form usado (PickUp, Application, DropOff) con foto del form insertado en un módulo de prueba y el AC_CmdParam que genera. El módulo de prueba no queda en el controlador.
• Todos los folds ';Params IlfProvider=ac_zoneilf' cumplen la convención: style1pick1opt2 (2 folds), style1app2opt2 (1), style1drop1opt1 (2), style1drop1opt2AutoRR (2), y los de style1pick1opt1, style1pick1opt1AutoRR y style1app2opt1 si la convención los contradice.
• Las llamadas AC_ son las mismas del respaldo anterior; solo cambió la línea ;Params.
• Prueba en el smartPAD: abrir y confirmar (Cmd OK) cada form corregido; en el respaldo siguiente el cuerpo de cada fold es la misma llamada de antes. Anotar fecha.
• Comentarios del código cambiado según docs/CONVENTIONS.md (inglés, señal con dirección y nombre); los ;CHECK:/;NOTE:/;WARNING: que citan (F21) se quitan o se actualizan; el cambio está declarado en tools/code_changes.json y tools/check_equivalence.py pasa; ningún encabezado de inline form ni línea dentro de un fold de form cambia sin estar declarado (F32, F21, F31).</t>
        </is>
      </c>
      <c r="I44" s="5" t="inlineStr">
        <is>
          <t>F32</t>
        </is>
      </c>
      <c r="J44" s="6" t="inlineStr">
        <is>
          <t>Abierto</t>
        </is>
      </c>
      <c r="K44" s="6" t="inlineStr"/>
      <c r="L44" s="6" t="inlineStr"/>
      <c r="M44" s="6" t="inlineStr"/>
      <c r="N44" s="6" t="inlineStr"/>
      <c r="O44" s="7" t="inlineStr">
        <is>
          <t>Alta (Ethos)</t>
        </is>
      </c>
      <c r="P44" s="7" t="inlineStr">
        <is>
          <t>2026-10-04</t>
        </is>
      </c>
      <c r="Q44" s="7" t="inlineStr">
        <is>
          <t>Revisión Ethos del respaldo 658424 (v431_03_10_r1.zip del 2026-10-02).</t>
        </is>
      </c>
    </row>
    <row r="45">
      <c r="A45" s="10" t="inlineStr">
        <is>
          <t>F22</t>
        </is>
      </c>
      <c r="B45" s="5" t="inlineStr">
        <is>
          <t>Ethos</t>
        </is>
      </c>
      <c r="C45" s="4" t="inlineStr">
        <is>
          <t>Medio</t>
        </is>
      </c>
      <c r="D45" s="5" t="inlineStr">
        <is>
          <t>Movimientos del pedestal mezclan modo base y external TCP</t>
        </is>
      </c>
      <c r="E45" s="5" t="inlineStr">
        <is>
          <t>Código + prueba en celda</t>
        </is>
      </c>
      <c r="F45" s="5" t="inlineStr">
        <is>
          <t>Ethos (Edgar) / Programador robot</t>
        </is>
      </c>
      <c r="G45" s="5" t="inlineStr">
        <is>
          <t>KRC/R1/Program/StyleApps/Options/style1app1opt1.src, KRC/R1/Program/StyleApps/Options/style1app1opt2.src, KRC/R1/Program/StyleApps/Options/style1app1opt3.src, KRC/R1/Program/StyleApps/Options/style1app1opt1.dat, KRC/R1/Program/StyleApps/Options/style1app1opt2.dat, KRC/R1/Program/StyleApps/Options/style1app1opt3.dat, KRC/R1/Program/Utilities/RejectGE4.src, KRC/R1/Program/StyleApps/Options/style1app2opt2.src, KRC/R1/System/$config.dat</t>
        </is>
      </c>
      <c r="H45" s="5" t="inlineStr">
        <is>
          <t>• La regla de frame del pedestal está anotada en la lista (qué movimientos de base 3 van en external TCP y cuáles en modo base; quién decidió y fecha).
• Cada FDAT con BASE_NO 3 usado por un movimiento tiene el IPO_FRAME que pide la regla.
• Si la regla usa external TCP, BASE_DATA[3] es el valor medido en sitio (C05) y todos los puntos de base 3 se re-enseñaron o verificaron en T1 después del cambio (lista de puntos).
• Prueba en T1 a velocidad reducida con pieza: las tres presentaciones llegan a su pose sin contacto; en el primer ciclo con soldadura CL_GunStrokePositionLPT con el gun cerrado queda en CL_GUN_WELD_MIN..MAX en cada tuerca. Anotar lectura por tuerca y fecha.
• Comentarios del código cambiado según docs/CONVENTIONS.md (inglés, señal con dirección y nombre); los ;CHECK:/;NOTE:/;WARNING: que citan (F22) se quitan o se actualizan; el cambio está declarado en tools/code_changes.json y tools/check_equivalence.py pasa; ningún encabezado de inline form ni línea dentro de un fold de form cambia sin estar declarado (F32, F21, F31).</t>
        </is>
      </c>
      <c r="I45" s="5" t="inlineStr">
        <is>
          <t>C05, F32</t>
        </is>
      </c>
      <c r="J45" s="6" t="inlineStr">
        <is>
          <t>Requiere decisión</t>
        </is>
      </c>
      <c r="K45" s="6" t="inlineStr"/>
      <c r="L45" s="6" t="inlineStr"/>
      <c r="M45" s="6" t="inlineStr"/>
      <c r="N45" s="6" t="inlineStr"/>
      <c r="O45" s="7" t="inlineStr">
        <is>
          <t>Alta (Ethos)</t>
        </is>
      </c>
      <c r="P45" s="7" t="inlineStr">
        <is>
          <t>2026-10-04</t>
        </is>
      </c>
      <c r="Q45" s="7" t="inlineStr">
        <is>
          <t>Revisión Ethos del respaldo 658424 (v431_03_10_r1.zip del 2026-10-02).</t>
        </is>
      </c>
    </row>
    <row r="46">
      <c r="A46" s="10" t="inlineStr">
        <is>
          <t>F23</t>
        </is>
      </c>
      <c r="B46" s="5" t="inlineStr">
        <is>
          <t>Ethos</t>
        </is>
      </c>
      <c r="C46" s="9" t="inlineStr">
        <is>
          <t>Bajo</t>
        </is>
      </c>
      <c r="D46" s="5" t="inlineStr">
        <is>
          <t>Posición del LPT armada con 3 bytes en otro orden que en R20</t>
        </is>
      </c>
      <c r="E46" s="5" t="inlineStr">
        <is>
          <t>Confirmar en sitio</t>
        </is>
      </c>
      <c r="F46" s="5" t="inlineStr">
        <is>
          <t>Puesta en marcha / Programador robot</t>
        </is>
      </c>
      <c r="G46" s="5" t="inlineStr">
        <is>
          <t>KRC/R1/System/sps.sub, KRC/R1/System/$config.dat, KRC/R1/Program/Centerline/centerline_weld.src</t>
        </is>
      </c>
      <c r="H46" s="5" t="inlineStr">
        <is>
          <t>• Formato del BTL6 confirmado (documento y página, o configuración leída del transductor) y anotado en la lista.
• La fórmula de sps.sub corresponde a ese formato; si cambia, la lista trae CL_GunStrokePositionLPT leído antes y después con gun abierto y cerrado sobre tuerca, y las ventanas (CL_GUN_WELD_MIN/MAX, CL_GUN_OPEN_MIN) siguen siendo válidas.
• Si se pasa a componer 32 bits, el cálculo no puede desbordar INT (protección como en el F23 de R20).
• Comentarios según docs/CONVENTIONS.md; el ;CHECK: (F23) de sps.sub y la nota de $config.dat se quitan o se actualizan.</t>
        </is>
      </c>
      <c r="I46" s="5" t="inlineStr"/>
      <c r="J46" s="6" t="inlineStr">
        <is>
          <t>Abierto</t>
        </is>
      </c>
      <c r="K46" s="6" t="inlineStr"/>
      <c r="L46" s="6" t="inlineStr"/>
      <c r="M46" s="6" t="inlineStr"/>
      <c r="N46" s="6" t="inlineStr"/>
      <c r="O46" s="7" t="inlineStr">
        <is>
          <t>Alta (Ethos)</t>
        </is>
      </c>
      <c r="P46" s="7" t="inlineStr">
        <is>
          <t>2026-10-04</t>
        </is>
      </c>
      <c r="Q46" s="7" t="inlineStr">
        <is>
          <t>Revisión Ethos del respaldo 658424 (v431_03_10_r1.zip del 2026-10-02).</t>
        </is>
      </c>
    </row>
    <row r="47">
      <c r="A47" s="10" t="inlineStr">
        <is>
          <t>F24</t>
        </is>
      </c>
      <c r="B47" s="5" t="inlineStr">
        <is>
          <t>Calvin #27</t>
        </is>
      </c>
      <c r="C47" s="9" t="inlineStr">
        <is>
          <t>Bajo</t>
        </is>
      </c>
      <c r="D47" s="5" t="inlineStr">
        <is>
          <t>Camino de retry de soldadura muerto: NUT_WELD_RETRY nunca es TRUE</t>
        </is>
      </c>
      <c r="E47" s="5" t="inlineStr">
        <is>
          <t>Código</t>
        </is>
      </c>
      <c r="F47" s="5" t="inlineStr">
        <is>
          <t>Programador robot (prueba en celda)</t>
        </is>
      </c>
      <c r="G47" s="5" t="inlineStr">
        <is>
          <t>KRC/R1/Program/StyleApps/Options/style1app1opt1.src, KRC/R1/Program/StyleApps/Options/style1app1opt2.src, KRC/R1/Program/StyleApps/Options/style1app1opt3.src, KRC/R1/System/$config.dat</t>
        </is>
      </c>
      <c r="H47" s="5" t="inlineStr">
        <is>
          <t>• Decisión anotada: A (borrar), Ethos, 2026-10-04, por el punto 17 de Gestamp.
• En KRC/R1 no aparece NUT_WELD_RETRY ni RETRY_NUT1.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completo en automático con las 3 tuercas sin errores. Anotar fecha.</t>
        </is>
      </c>
      <c r="I47" s="5" t="inlineStr"/>
      <c r="J47" s="6" t="inlineStr">
        <is>
          <t>Corregido en oficina - probar en celda</t>
        </is>
      </c>
      <c r="K47" s="6" t="inlineStr"/>
      <c r="L47" s="6" t="inlineStr"/>
      <c r="M47" s="6" t="inlineStr"/>
      <c r="N47" s="6" t="inlineStr"/>
      <c r="O47" s="7" t="inlineStr">
        <is>
          <t>Integrado - por probar</t>
        </is>
      </c>
      <c r="P47" s="7" t="inlineStr">
        <is>
          <t>2026-10-05</t>
        </is>
      </c>
      <c r="Q47" s="7" t="inlineStr">
        <is>
          <t>Sigue en la versión integrada (658424_R10_2026-10-05_0819.zip, armada sobre el respaldo del programador). Cargarla y hacer la prueba de este punto.</t>
        </is>
      </c>
    </row>
    <row r="48">
      <c r="A48" s="10" t="inlineStr">
        <is>
          <t>F25</t>
        </is>
      </c>
      <c r="B48" s="5" t="inlineStr">
        <is>
          <t>Calvin #19</t>
        </is>
      </c>
      <c r="C48" s="9" t="inlineStr">
        <is>
          <t>Bajo</t>
        </is>
      </c>
      <c r="D48" s="5" t="inlineStr">
        <is>
          <t>Feed de respaldo en CENTERLINE_WELD: pulso de feed de duración cero</t>
        </is>
      </c>
      <c r="E48" s="5" t="inlineStr">
        <is>
          <t>Código + prueba en celda</t>
        </is>
      </c>
      <c r="F48" s="5" t="inlineStr">
        <is>
          <t>Programador robot</t>
        </is>
      </c>
      <c r="G48" s="5" t="inlineStr">
        <is>
          <t>KRC/R1/Program/Centerline/centerline_weld.src, KRC/R1/System/$config.dat</t>
        </is>
      </c>
      <c r="H48" s="5" t="inlineStr">
        <is>
          <t>• En centerline_weld.src no queda ninguna escritura a ON de $OUT[476] dopw1_StartFeed ni de $OUT[503] do503QFPAdvance: la alimentación queda solo en la secuencia de preload.
• Si NUT_READY es FALSE al entrar, CENTERLINE_WELD no cierra clamp ni gun sin un preload terminado: (a) se detiene con mensaje y $OUT[4] do004ProcessFault ON; o (b) pide un preload (solo si NUTCYCLE_ACTIVE es FALSE) y espera NUT_READY con timeout, y al vencer da mensaje y $OUT[4].
• Prueba en T1 sin pieza, con el robot fuera del pedestal y nadie en él: NUT_READY = FALSE por corrección de variable y CENTERLINE_WELD solo: con (a) se detiene con mensaje; con (b) pide o espera el preload y, con el preload impedido, da timeout con mensaje sin cerrar clamp ni gun. Anotar opción, fecha y resultado.
• Comentarios del código cambiado según docs/CONVENTIONS.md (inglés, señal con dirección y nombre); los ;CHECK:/;NOTE:/;WARNING: que citan (F25) se quitan o se actualizan; el cambio está declarado en tools/code_changes.json y tools/check_equivalence.py pasa; ningún encabezado de inline form ni línea dentro de un fold de form cambia sin estar declarado (F32, F21, F31).</t>
        </is>
      </c>
      <c r="I48" s="5" t="inlineStr">
        <is>
          <t>F11, F14</t>
        </is>
      </c>
      <c r="J48" s="6" t="inlineStr">
        <is>
          <t>Abierto</t>
        </is>
      </c>
      <c r="K48" s="6" t="inlineStr"/>
      <c r="L48" s="6" t="inlineStr"/>
      <c r="M48" s="6" t="inlineStr"/>
      <c r="N48" s="6" t="inlineStr"/>
      <c r="O48" s="7" t="inlineStr">
        <is>
          <t>Decisión</t>
        </is>
      </c>
      <c r="P48" s="7" t="inlineStr">
        <is>
          <t>2026-10-04</t>
        </is>
      </c>
      <c r="Q48" s="7" t="inlineStr">
        <is>
          <t>Se mantiene el criterio de F25 frente a la propuesta de Calvin #19, igual que en R20 (decisión de Edgar, 2026-10-04).</t>
        </is>
      </c>
    </row>
    <row r="49">
      <c r="A49" s="10" t="inlineStr">
        <is>
          <t>F26</t>
        </is>
      </c>
      <c r="B49" s="5" t="inlineStr">
        <is>
          <t>Ethos</t>
        </is>
      </c>
      <c r="C49" s="9" t="inlineStr">
        <is>
          <t>Bajo</t>
        </is>
      </c>
      <c r="D49" s="5" t="inlineStr">
        <is>
          <t>Timers $TIMER[10..15] de PRELOAD y CENTERLINE_WELD sin constantes con nombre</t>
        </is>
      </c>
      <c r="E49" s="5" t="inlineStr">
        <is>
          <t>Código</t>
        </is>
      </c>
      <c r="F49" s="5" t="inlineStr">
        <is>
          <t>Programador robot</t>
        </is>
      </c>
      <c r="G49" s="5" t="inlineStr">
        <is>
          <t>KRC/R1/Program/Centerline/PRELOAD.src, KRC/R1/Program/Centerline/centerline_weld.src, KRC/R1/System/$config.dat</t>
        </is>
      </c>
      <c r="H49" s="5" t="inlineStr">
        <is>
          <t>• $config.dat declara un nombre para cada índice de $TIMER que usan PRELOAD y CENTERLINE_WELD, con comentario de dueño y uso; cada nombre declarado se usa.
• En PRELOAD.src y centerline_weld.src no queda ningún $TIMER[n] ni $TIMER_STOP[n] con índice numérico.
• Fuera de PRELOAD y CENTERLINE_WELD ningún módulo que se ejecute usa esos índices; tampoco son timers del proveedor (torque monitoring 7, 8 y 18; NutWeld 41 y 42; AutomationCore 55).
• Al completar un preload, PRELOAD detiene $TIMER[13] igual que los de feed, advance y return.
• Comentarios del código cambiado según docs/CONVENTIONS.md (inglés, señal con dirección y nombre); los ;CHECK:/;NOTE:/;WARNING: que citan (F26) se quitan o se actualizan; el cambio está declarado en tools/code_changes.json y tools/check_equivalence.py pasa; ningún encabezado de inline form ni línea dentro de un fold de form cambia sin estar declarado (F32, F21, F31).</t>
        </is>
      </c>
      <c r="I49" s="5" t="inlineStr"/>
      <c r="J49" s="6" t="inlineStr">
        <is>
          <t>Abierto</t>
        </is>
      </c>
      <c r="K49" s="6" t="inlineStr"/>
      <c r="L49" s="6" t="inlineStr"/>
      <c r="M49" s="6" t="inlineStr"/>
      <c r="N49" s="6" t="inlineStr"/>
      <c r="O49" s="7" t="inlineStr">
        <is>
          <t>Alta (Ethos)</t>
        </is>
      </c>
      <c r="P49" s="7" t="inlineStr">
        <is>
          <t>2026-10-04</t>
        </is>
      </c>
      <c r="Q49" s="7" t="inlineStr">
        <is>
          <t>Revisión Ethos del respaldo 658424 (v431_03_10_r1.zip del 2026-10-02).</t>
        </is>
      </c>
    </row>
    <row r="50">
      <c r="A50" s="10" t="inlineStr">
        <is>
          <t>F27</t>
        </is>
      </c>
      <c r="B50" s="5" t="inlineStr">
        <is>
          <t>Ethos</t>
        </is>
      </c>
      <c r="C50" s="9" t="inlineStr">
        <is>
          <t>Bajo</t>
        </is>
      </c>
      <c r="D50" s="5" t="inlineStr">
        <is>
          <t>Confirmar en celda funciones de comentarios corregidos: blow-off, pines, programa Bosch</t>
        </is>
      </c>
      <c r="E50" s="5" t="inlineStr">
        <is>
          <t>Confirmar en sitio</t>
        </is>
      </c>
      <c r="F50" s="5" t="inlineStr">
        <is>
          <t>Puesta en marcha / Gestamp controles</t>
        </is>
      </c>
      <c r="G50" s="5" t="inlineStr">
        <is>
          <t>KRC/R1/Program/Centerline/centerline_weld.src, KRC/R1/Program/Centerline/PRELOAD.src</t>
        </is>
      </c>
      <c r="H50" s="5" t="inlineStr">
        <is>
          <t>• En la lista, para cada uno de los tres puntos: resultado, cómo se confirmó, quién y fecha.
• Los cinco ;CHECK: que citan (F27) se quitaron o se cambiaron por un ;NOTE: con el hecho confirmado.
• Ningún punto se cierra con una contradicción pendiente: si la confirmación contradijo al código, el respaldo trae la corrección o la lista remite al punto nuevo.
• Comentarios según docs/CONVENTIONS.md; ningún encabezado de inline form ni línea dentro de un fold de form cambia sin estar declarado (F32, F21, F31).</t>
        </is>
      </c>
      <c r="I50" s="5" t="inlineStr"/>
      <c r="J50" s="6" t="inlineStr">
        <is>
          <t>Abierto</t>
        </is>
      </c>
      <c r="K50" s="6" t="inlineStr"/>
      <c r="L50" s="6" t="inlineStr"/>
      <c r="M50" s="6" t="inlineStr"/>
      <c r="N50" s="6" t="inlineStr"/>
      <c r="O50" s="7" t="inlineStr">
        <is>
          <t>Alta (Ethos)</t>
        </is>
      </c>
      <c r="P50" s="7" t="inlineStr">
        <is>
          <t>2026-10-04</t>
        </is>
      </c>
      <c r="Q50" s="7" t="inlineStr">
        <is>
          <t>Revisión Ethos del respaldo 658424 (v431_03_10_r1.zip del 2026-10-02).</t>
        </is>
      </c>
    </row>
    <row r="51">
      <c r="A51" s="10" t="inlineStr">
        <is>
          <t>F28</t>
        </is>
      </c>
      <c r="B51" s="5" t="inlineStr">
        <is>
          <t>Ethos</t>
        </is>
      </c>
      <c r="C51" s="9" t="inlineStr">
        <is>
          <t>Bajo</t>
        </is>
      </c>
      <c r="D51" s="5" t="inlineStr">
        <is>
          <t>Sensor de tuerca leído al llegar al punto; el dwell iba después de la lectura</t>
        </is>
      </c>
      <c r="E51" s="5" t="inlineStr">
        <is>
          <t>Código + prueba en celda</t>
        </is>
      </c>
      <c r="F51" s="5" t="inlineStr">
        <is>
          <t>Programador robot (prueba en celda)</t>
        </is>
      </c>
      <c r="G51" s="5" t="inlineStr">
        <is>
          <t>KRC/R1/Program/StyleApps/Options/style1app2opt1.src</t>
        </is>
      </c>
      <c r="H51" s="5" t="inlineStr">
        <is>
          <t>• En style1app2opt1, en los tres bloques NUT CHECK, PARTPRESENTn se asigna después de WAIT SEC 0.2.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automático, override 100 %, fuera de dry cycle y con option 1: ciclos consecutivos con pieza buena sin ningún rechazo por la revisión de tuercas; un ciclo con pieza red rabbit (option 12) deja PARTPRESENT1..3 en FALSE en el display de variables antes del drop. Anotar fecha, número de ciclos y resultado.</t>
        </is>
      </c>
      <c r="I51" s="5" t="inlineStr"/>
      <c r="J51" s="6" t="inlineStr">
        <is>
          <t>Corregido en oficina - probar en celda</t>
        </is>
      </c>
      <c r="K51" s="6" t="inlineStr"/>
      <c r="L51" s="6" t="inlineStr"/>
      <c r="M51" s="6" t="inlineStr"/>
      <c r="N51" s="6" t="inlineStr"/>
      <c r="O51" s="7" t="inlineStr">
        <is>
          <t>Integrado - por probar</t>
        </is>
      </c>
      <c r="P51" s="7" t="inlineStr">
        <is>
          <t>2026-10-05</t>
        </is>
      </c>
      <c r="Q51" s="7" t="inlineStr">
        <is>
          <t>Sigue en la versión integrada (658424_R10_2026-10-05_0819.zip, armada sobre el respaldo del programador). Cargarla y hacer la prueba de este punto.</t>
        </is>
      </c>
    </row>
    <row r="52">
      <c r="A52" s="10" t="inlineStr">
        <is>
          <t>F29</t>
        </is>
      </c>
      <c r="B52" s="5" t="inlineStr">
        <is>
          <t>Ethos</t>
        </is>
      </c>
      <c r="C52" s="9" t="inlineStr">
        <is>
          <t>Bajo</t>
        </is>
      </c>
      <c r="D52" s="5" t="inlineStr">
        <is>
          <t>Faro KL50L2: lógica muerta y un bit sin mapear</t>
        </is>
      </c>
      <c r="E52" s="5" t="inlineStr">
        <is>
          <t>Código + prueba en celda</t>
        </is>
      </c>
      <c r="F52" s="5" t="inlineStr">
        <is>
          <t>Programador robot / Puesta en marcha</t>
        </is>
      </c>
      <c r="G52" s="5" t="inlineStr">
        <is>
          <t>KRC/R1/System/sps.sub, KRC/R1/System/$config.dat, C/KRC/Roboter/Config/User/Common/KRC_IO.xml</t>
        </is>
      </c>
      <c r="H52" s="5" t="inlineStr">
        <is>
          <t>• Mapa de bits del KL50L2 de este pedestal confirmado (qué bit es cada color) y anotado.
• Con (a): la polaridad de $IN[480] confirmada en celda; el bloque lee $IN[480], no $OUT[477]/$OUT[478], y en cada ciclo deja cada bit usado en un estado definido; solo usa bits mapeados en KRC_IO.xml. Con (b): el bloque ya no existe y ningún módulo escribe esos bits.
• Con (a): prueba en celda con la tolva en nivel bajo y en nivel OK; el faro cambia con el nivel. Anotar fecha.
• Comentarios del código cambiado según docs/CONVENTIONS.md (inglés, señal con dirección y nombre); los ;CHECK:/;NOTE:/;WARNING: que citan (F29) se quitan o se actualizan; el cambio está declarado en tools/code_changes.json y tools/check_equivalence.py pasa; ningún encabezado de inline form ni línea dentro de un fold de form cambia sin estar declarado (F32, F21, F31).</t>
        </is>
      </c>
      <c r="I52" s="5" t="inlineStr"/>
      <c r="J52" s="6" t="inlineStr">
        <is>
          <t>Abierto</t>
        </is>
      </c>
      <c r="K52" s="6" t="inlineStr"/>
      <c r="L52" s="6" t="inlineStr"/>
      <c r="M52" s="6" t="inlineStr"/>
      <c r="N52" s="6" t="inlineStr"/>
      <c r="O52" s="7" t="inlineStr">
        <is>
          <t>Alta (Ethos)</t>
        </is>
      </c>
      <c r="P52" s="7" t="inlineStr">
        <is>
          <t>2026-10-04</t>
        </is>
      </c>
      <c r="Q52" s="7" t="inlineStr">
        <is>
          <t>Revisión Ethos del respaldo 658424 (v431_03_10_r1.zip del 2026-10-02).</t>
        </is>
      </c>
    </row>
    <row r="53">
      <c r="A53" s="10" t="inlineStr">
        <is>
          <t>F30</t>
        </is>
      </c>
      <c r="B53" s="5" t="inlineStr">
        <is>
          <t>Ethos</t>
        </is>
      </c>
      <c r="C53" s="9" t="inlineStr">
        <is>
          <t>Bajo</t>
        </is>
      </c>
      <c r="D53" s="5" t="inlineStr">
        <is>
          <t>Style1Opt1 sin GOTO: un camino IF/ELSE por ciclo</t>
        </is>
      </c>
      <c r="E53" s="5" t="inlineStr">
        <is>
          <t>Código + prueba en celda</t>
        </is>
      </c>
      <c r="F53" s="5" t="inlineStr">
        <is>
          <t>Programador robot (prueba en celda)</t>
        </is>
      </c>
      <c r="G53" s="5" t="inlineStr">
        <is>
          <t>KRC/R1/Program/Styles/Options/style1opt1.src</t>
        </is>
      </c>
      <c r="H53" s="5" t="inlineStr">
        <is>
          <t>• En style1opt1.src no hay GOTO ni etiquetas y se conservan las tres propiedades: (1) después de RejectGE4() no corren ni la cámara ni el drop; (2) un ciclo de estación 1 no corre la estación 2; (3) todos los caminos pasan por el borrado de PARTPRESENT1..3.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celda: un ciclo bueno de estación 1, uno de estación 2, un rechazo por nut check y uno por cámara (si se puede provocar). Anotar fecha y resultado.</t>
        </is>
      </c>
      <c r="I53" s="5" t="inlineStr"/>
      <c r="J53" s="6" t="inlineStr">
        <is>
          <t>Corregido en oficina - probar en celda</t>
        </is>
      </c>
      <c r="K53" s="6" t="inlineStr"/>
      <c r="L53" s="6" t="inlineStr"/>
      <c r="M53" s="6" t="inlineStr"/>
      <c r="N53" s="6" t="inlineStr"/>
      <c r="O53" s="7" t="inlineStr">
        <is>
          <t>Integrado - por probar</t>
        </is>
      </c>
      <c r="P53" s="7" t="inlineStr">
        <is>
          <t>2026-10-05</t>
        </is>
      </c>
      <c r="Q53" s="7" t="inlineStr">
        <is>
          <t>Sigue en la versión integrada (658424_R10_2026-10-05_0819.zip, armada sobre el respaldo del programador). Cargarla y hacer la prueba de este punto.</t>
        </is>
      </c>
    </row>
    <row r="54">
      <c r="A54" s="10" t="inlineStr">
        <is>
          <t>F31</t>
        </is>
      </c>
      <c r="B54" s="5" t="inlineStr">
        <is>
          <t>Calvin #25</t>
        </is>
      </c>
      <c r="C54" s="4" t="inlineStr">
        <is>
          <t>Medio</t>
        </is>
      </c>
      <c r="D54" s="5" t="inlineStr">
        <is>
          <t>Forms GripperTech: parámetros ocultos de otro gripper; drop red rabbit con el gripper 3</t>
        </is>
      </c>
      <c r="E54" s="5" t="inlineStr">
        <is>
          <t>Código + prueba en celda</t>
        </is>
      </c>
      <c r="F54" s="5" t="inlineStr">
        <is>
          <t>Programador robot / Puesta en marcha</t>
        </is>
      </c>
      <c r="G54"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54" s="5" t="inlineStr">
        <is>
          <t>• En los módulos listados cada form Gripper SET/CHECK tiene en su línea ;Params el mismo gripper y estado que su llamada (hecho en oficina para picks y drop al conveyor) y no queda GRPg_Check que repita el check del SET anterior.
• style1drop1opt2AutoRR no escribe $OUT[249]/$OUT[250] a mano y no usa forms del gripper 3; ningún módulo de producción usa los grippers 2-4.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el smartPAD: abrir y confirmar (Cmd OK) un form SET de cada módulo; en el respaldo siguiente las llamadas no cambiaron. En T1 sin pieza: con un switch del gripper 1 desconectado el check da su error (estrategia 1) en pick, drop y reject. Anotar fecha.
• Comentarios del código cambiado según docs/CONVENTIONS.md (inglés, señal con dirección y nombre); los ;CHECK:/;NOTE:/;WARNING: que citan (F31) se quitan o se actualizan; el cambio está declarado en tools/code_changes.json y tools/check_equivalence.py pasa; ningún encabezado de inline form ni línea dentro de un fold de form cambia sin estar declarado (F32, F21, F31).</t>
        </is>
      </c>
      <c r="I54" s="5" t="inlineStr">
        <is>
          <t>F33, F19</t>
        </is>
      </c>
      <c r="J54" s="6" t="inlineStr">
        <is>
          <t>Abierto</t>
        </is>
      </c>
      <c r="K54" s="6" t="inlineStr"/>
      <c r="L54" s="6" t="inlineStr"/>
      <c r="M54" s="6" t="inlineStr"/>
      <c r="N54" s="6" t="inlineStr"/>
      <c r="O54" s="7" t="inlineStr">
        <is>
          <t>Alta (Ethos)</t>
        </is>
      </c>
      <c r="P54" s="7" t="inlineStr">
        <is>
          <t>2026-10-04</t>
        </is>
      </c>
      <c r="Q54" s="7" t="inlineStr">
        <is>
          <t>Revisión Ethos del respaldo 658424 (v431_03_10_r1.zip del 2026-10-02).</t>
        </is>
      </c>
    </row>
    <row r="55">
      <c r="A55" s="10" t="inlineStr">
        <is>
          <t>F32</t>
        </is>
      </c>
      <c r="B55" s="5" t="inlineStr">
        <is>
          <t>Calvin #28</t>
        </is>
      </c>
      <c r="C55" s="4" t="inlineStr">
        <is>
          <t>Medio</t>
        </is>
      </c>
      <c r="D55" s="5" t="inlineStr">
        <is>
          <t>TRIGGERs y resets escritos a mano dentro de folds de inline form</t>
        </is>
      </c>
      <c r="E55" s="5" t="inlineStr">
        <is>
          <t>Código + prueba en celda</t>
        </is>
      </c>
      <c r="F55" s="5" t="inlineStr">
        <is>
          <t>Programador robot (prueba en celda)</t>
        </is>
      </c>
      <c r="G55" s="5"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55" s="5" t="inlineStr">
        <is>
          <t>• Los folds PTP P12 (style1pick1opt1, style1pick1opt1AutoRR), P10 (style1pick1opt2) y P0 (style1app1opt1 y opt2) contienen solo las líneas que genera el form; los TRIGGER están fuera, inmediatamente antes.
• El fold DropOff[2] Reset de style1drop1opt2AutoRR contiene solo su ;Params y AC_DropOff (2,True); los resets se ejecutan después.
• Los encabezados ;FOLD ... ;%{PE} de los folds tocados son idénticos a los del respaldo recibido: no se reabrió ningún form.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T1 o en automático con override reducido, fuera de dry cycle: en un ciclo completo NUT_READY y NEXT_NUT_READY pasan a FALSE y vuelven a TRUE una vez por tuerca (3 preloads por pieza). Un ciclo red rabbit deja $OUT[141], $OUT[142] y PARTPRESENT1..3 en FALSE. Anotar fecha.</t>
        </is>
      </c>
      <c r="I55" s="5" t="inlineStr"/>
      <c r="J55" s="6" t="inlineStr">
        <is>
          <t>Corregido en oficina - probar en celda</t>
        </is>
      </c>
      <c r="K55" s="6" t="inlineStr"/>
      <c r="L55" s="6" t="inlineStr"/>
      <c r="M55" s="6" t="inlineStr"/>
      <c r="N55" s="6" t="inlineStr"/>
      <c r="O55" s="7" t="inlineStr">
        <is>
          <t>Integrado - por probar</t>
        </is>
      </c>
      <c r="P55" s="7" t="inlineStr">
        <is>
          <t>2026-10-05</t>
        </is>
      </c>
      <c r="Q55" s="7" t="inlineStr">
        <is>
          <t>Sigue en la versión integrada (658424_R10_2026-10-05_0819.zip, armada sobre el respaldo del programador). Cargarla y hacer la prueba de este punto.</t>
        </is>
      </c>
    </row>
    <row r="56">
      <c r="A56" s="10" t="inlineStr">
        <is>
          <t>F33</t>
        </is>
      </c>
      <c r="B56" s="5" t="inlineStr">
        <is>
          <t>Ethos</t>
        </is>
      </c>
      <c r="C56" s="4" t="inlineStr">
        <is>
          <t>Medio</t>
        </is>
      </c>
      <c r="D56" s="5" t="inlineStr">
        <is>
          <t>GripperConfig.xml del HMI desincronizado con grp_data.dat</t>
        </is>
      </c>
      <c r="E56" s="5" t="inlineStr">
        <is>
          <t>WorkVisual / configuración</t>
        </is>
      </c>
      <c r="F56" s="5" t="inlineStr">
        <is>
          <t>Programador robot</t>
        </is>
      </c>
      <c r="G56" s="5" t="inlineStr">
        <is>
          <t>C/KRC/User/TP/Gripper_SpotTech/GripperConfig.xml, KRC/R1/TP/GripperSpotTech/grp_data.dat</t>
        </is>
      </c>
      <c r="H56" s="5" t="inlineStr">
        <is>
          <t>• Control en cada respaldo mientras el punto esté abierto: grp_data.dat conserva GRPg_Grp[1] con Act TRUE, salidas 249/250 y entradas 257/258 (nadie guardó desde el HMI).
• Para cerrar, el GripperConfig.xml del respaldo tiene el gripper 1 activo con salidas 249/250 y entradas 257/258 sin GhostMode, y los valores por estado coinciden con grp_data.dat.
• Guardado de prueba desde el HMI hecho entre dos respaldos: GRPg_Grp, GRPg_GrpPar y GRPg_State del gripper 1 no cambian, y el drop red rabbit sigue soltando (o F19/F31 ya lo pasaron al gripper 1).</t>
        </is>
      </c>
      <c r="I56" s="5" t="inlineStr">
        <is>
          <t>F31</t>
        </is>
      </c>
      <c r="J56" s="6" t="inlineStr">
        <is>
          <t>Abierto</t>
        </is>
      </c>
      <c r="K56" s="6" t="inlineStr"/>
      <c r="L56" s="6" t="inlineStr"/>
      <c r="M56" s="6" t="inlineStr"/>
      <c r="N56" s="6" t="inlineStr"/>
      <c r="O56" s="7" t="inlineStr">
        <is>
          <t>Alta (Ethos)</t>
        </is>
      </c>
      <c r="P56" s="7" t="inlineStr">
        <is>
          <t>2026-10-04</t>
        </is>
      </c>
      <c r="Q56" s="7" t="inlineStr">
        <is>
          <t>Revisión Ethos del respaldo 658424 (v431_03_10_r1.zip del 2026-10-02).</t>
        </is>
      </c>
    </row>
    <row r="57">
      <c r="A57" s="10" t="inlineStr">
        <is>
          <t>F34</t>
        </is>
      </c>
      <c r="B57" s="5" t="inlineStr">
        <is>
          <t>Ethos</t>
        </is>
      </c>
      <c r="C57" s="9" t="inlineStr">
        <is>
          <t>Bajo</t>
        </is>
      </c>
      <c r="D57" s="5" t="inlineStr">
        <is>
          <t>CENTERLINE_HOME: polaridad de $OUT[473] y falta el reset del Bosch</t>
        </is>
      </c>
      <c r="E57" s="5" t="inlineStr">
        <is>
          <t>Código + prueba en celda</t>
        </is>
      </c>
      <c r="F57" s="5" t="inlineStr">
        <is>
          <t>Programador robot / Puesta en marcha</t>
        </is>
      </c>
      <c r="G57" s="5" t="inlineStr">
        <is>
          <t>KRC/R1/Program/Centerline/CENTERLINE_HOME.src, KRC/R1/Program/Centerline/centerline_weld.src</t>
        </is>
      </c>
      <c r="H57" s="5" t="inlineStr">
        <is>
          <t>• En la lista: función física de $OUT[473] y su estado de reposo, cómo se confirmó y fecha.
• CENTERLINE_HOME y CENTERLINE_WELD escriben el mismo valor de reposo para $OUT[473].
• CENTERLINE_HOME pone $OUT[483] dopw1_WeldInit OFF, $OUT[481] dopw1_WeldContactEnable OFF, $OUT[482] dopw1_WeldOnExternal OFF y gdopw1_SpotNumber = 0.
• Prueba en T1 sin pieza, robot fuera del pedestal y nadie en él: poner $OUT[481] y $OUT[482] en ON y gdopw1_SpotNumber = 2 desde el display, correr CENTERLINE_HOME y verificar los resets y $OUT[473] en el reposo confirmado. Anotar fecha.
• Comentarios del código cambiado según docs/CONVENTIONS.md (inglés, señal con dirección y nombre); los ;CHECK:/;NOTE:/;WARNING: que citan (F34) se quitan o se actualizan; el cambio está declarado en tools/code_changes.json y tools/check_equivalence.py pasa; ningún encabezado de inline form ni línea dentro de un fold de form cambia sin estar declarado (F32, F21, F31).</t>
        </is>
      </c>
      <c r="I57" s="5" t="inlineStr"/>
      <c r="J57" s="6" t="inlineStr">
        <is>
          <t>Requiere decisión</t>
        </is>
      </c>
      <c r="K57" s="6" t="inlineStr"/>
      <c r="L57" s="6" t="inlineStr"/>
      <c r="M57" s="6" t="inlineStr"/>
      <c r="N57" s="6" t="inlineStr"/>
      <c r="O57" s="7" t="inlineStr">
        <is>
          <t>Alta (Ethos)</t>
        </is>
      </c>
      <c r="P57" s="7" t="inlineStr">
        <is>
          <t>2026-10-04</t>
        </is>
      </c>
      <c r="Q57" s="7" t="inlineStr">
        <is>
          <t>Revisión Ethos del respaldo 658424 (v431_03_10_r1.zip del 2026-10-02).</t>
        </is>
      </c>
    </row>
    <row r="58">
      <c r="A58" s="10" t="inlineStr">
        <is>
          <t>F35</t>
        </is>
      </c>
      <c r="B58" s="5" t="inlineStr">
        <is>
          <t>Ethos</t>
        </is>
      </c>
      <c r="C58" s="8" t="inlineStr">
        <is>
          <t>Alto</t>
        </is>
      </c>
      <c r="D58" s="5" t="inlineStr">
        <is>
          <t>El mastering reference deja $OUT[930] en ON para siempre</t>
        </is>
      </c>
      <c r="E58" s="5" t="inlineStr">
        <is>
          <t>Código + prueba en celda</t>
        </is>
      </c>
      <c r="F58" s="5" t="inlineStr">
        <is>
          <t>Programador robot</t>
        </is>
      </c>
      <c r="G58" s="5" t="inlineStr">
        <is>
          <t>KRC/R1/Program/masref_user.src, KRC/R1/System/masref_main.src</t>
        </is>
      </c>
      <c r="H58" s="5" t="inlineStr">
        <is>
          <t>• En masref_user.src, MASREFBACKG1 termina con do930MasterRefInProcess = FALSE después del último movimiento; MASREFSTARTG1 es el único TRUE.
• Prueba en T1 (sin pieza en el gripper): correr el mastering reference; $OUT[930] está en ON durante la prueba y en OFF al terminar; el PLC ve el tag de $OUT[111] en OFF al final (F18). Anotar fecha.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Comentarios del código cambiado según docs/CONVENTIONS.md (inglés, señal con dirección y nombre); los ;CHECK:/;NOTE:/;WARNING: que citan (F35) se quitan o se actualizan; el cambio está declarado en tools/code_changes.json y tools/check_equivalence.py pasa; ningún encabezado de inline form ni línea dentro de un fold de form cambia sin estar declarado (F32, F21, F31).</t>
        </is>
      </c>
      <c r="I58" s="5" t="inlineStr">
        <is>
          <t>F18</t>
        </is>
      </c>
      <c r="J58" s="6" t="inlineStr">
        <is>
          <t>Abierto</t>
        </is>
      </c>
      <c r="K58" s="6" t="inlineStr"/>
      <c r="L58" s="6" t="inlineStr"/>
      <c r="M58" s="6" t="inlineStr"/>
      <c r="N58" s="6" t="inlineStr"/>
      <c r="O58" s="7" t="inlineStr">
        <is>
          <t>Severidad subida a Alto</t>
        </is>
      </c>
      <c r="P58" s="7" t="inlineStr">
        <is>
          <t>2026-10-05</t>
        </is>
      </c>
      <c r="Q58" s="7" t="inlineStr">
        <is>
          <t>Con AutomationCore_BKG activo (F49), $OUT[930] pegado en ON impide conceder el Request to Enter: $OUT[145] doCriticalWZ queda en TRUE y AC_PointArrival ya no detiene el robot cuando el operador pide entrar. Corregir F35 antes de producción.</t>
        </is>
      </c>
    </row>
    <row r="59">
      <c r="A59" s="10" t="inlineStr">
        <is>
          <t>F36</t>
        </is>
      </c>
      <c r="B59" s="5" t="inlineStr">
        <is>
          <t>Ethos</t>
        </is>
      </c>
      <c r="C59" s="9" t="inlineStr">
        <is>
          <t>Bajo</t>
        </is>
      </c>
      <c r="D59" s="5" t="inlineStr">
        <is>
          <t>$IN[227] declarado con dos nombres (NUT_PRESENT1, di227SensorCamera)</t>
        </is>
      </c>
      <c r="E59" s="5" t="inlineStr">
        <is>
          <t>Código</t>
        </is>
      </c>
      <c r="F59" s="5" t="inlineStr">
        <is>
          <t>Programador robot (prueba en celda)</t>
        </is>
      </c>
      <c r="G59" s="5" t="inlineStr">
        <is>
          <t>KRC/R1/System/$config.dat, KRC/R1/TP/AutomationCore/automationcoreroutines.dat, KRC/R1/Program/StyleApps/Options/style1app2opt1.src, KRC/R1/Program/Styles/Options/style1opt1.src, KRC/R1/Program/Styles/Options/Style1Opt10AutoRR.src</t>
        </is>
      </c>
      <c r="H59" s="5" t="inlineStr">
        <is>
          <t>• En todo KRC/ del respaldo, $IN[227] tiene una sola declaración SIGNAL: di227NutPresent1.
• NUT_PRESENT1 y di227SensorCamera ya no aparecen en código ni declaraciones de KRC/.
• La edición en automationcoreroutines.dat aparece en la lista de ediciones del integrador en archivos del proveedor (C28).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con option 1 lee las 3 tuercas (PARTPRESENT1..3 en TRUE en el display de variables). Anotar fecha.</t>
        </is>
      </c>
      <c r="I59" s="5" t="inlineStr">
        <is>
          <t>C28</t>
        </is>
      </c>
      <c r="J59" s="6" t="inlineStr">
        <is>
          <t>Corregido en oficina - probar en celda</t>
        </is>
      </c>
      <c r="K59" s="6" t="inlineStr"/>
      <c r="L59" s="6" t="inlineStr"/>
      <c r="M59" s="6" t="inlineStr"/>
      <c r="N59" s="6" t="inlineStr"/>
      <c r="O59" s="7" t="inlineStr">
        <is>
          <t>Integrado - por probar</t>
        </is>
      </c>
      <c r="P59" s="7" t="inlineStr">
        <is>
          <t>2026-10-05</t>
        </is>
      </c>
      <c r="Q59" s="7" t="inlineStr">
        <is>
          <t>Sigue en la versión integrada (658424_R10_2026-10-05_0819.zip, armada sobre el respaldo del programador). Cargarla y hacer la prueba de este punto.</t>
        </is>
      </c>
    </row>
    <row r="60">
      <c r="A60" s="12" t="inlineStr">
        <is>
          <t>F37</t>
        </is>
      </c>
      <c r="B60" s="13" t="inlineStr">
        <is>
          <t>Calvin #1</t>
        </is>
      </c>
      <c r="C60" s="14" t="inlineStr">
        <is>
          <t>-</t>
        </is>
      </c>
      <c r="D60" s="13" t="inlineStr">
        <is>
          <t>Presión de intensificado no confirmada antes de weld start: no aplica en R10</t>
        </is>
      </c>
      <c r="E60" s="13" t="inlineStr">
        <is>
          <t>Sin acción</t>
        </is>
      </c>
      <c r="F60" s="13" t="inlineStr">
        <is>
          <t>Programador robot</t>
        </is>
      </c>
      <c r="G60" s="13" t="inlineStr">
        <is>
          <t>KRC/R1/Program/Centerline/centerline_weld.src</t>
        </is>
      </c>
      <c r="H60" s="13" t="inlineStr">
        <is>
          <t>• Se reabre si la espera de $IN[479] dipw1_IntensfPresOk de CENTERLINE_WELD se desactiva o se quita.</t>
        </is>
      </c>
      <c r="I60" s="13" t="inlineStr">
        <is>
          <t>F15, F44</t>
        </is>
      </c>
      <c r="J60" s="13" t="inlineStr">
        <is>
          <t>No aplica</t>
        </is>
      </c>
      <c r="K60" s="13" t="inlineStr"/>
      <c r="L60" s="13" t="inlineStr"/>
      <c r="M60" s="13" t="inlineStr"/>
      <c r="N60" s="13" t="inlineStr"/>
      <c r="O60" s="13" t="inlineStr">
        <is>
          <t>Alta (Calvin)</t>
        </is>
      </c>
      <c r="P60" s="13" t="inlineStr">
        <is>
          <t>2026-10-04</t>
        </is>
      </c>
      <c r="Q60" s="13" t="inlineStr">
        <is>
          <t>Revisión Ethos del respaldo 658424: el punto 1 de Calvin (20R1) no aplica en R10.</t>
        </is>
      </c>
    </row>
    <row r="61">
      <c r="A61" s="10" t="inlineStr">
        <is>
          <t>F38</t>
        </is>
      </c>
      <c r="B61" s="5" t="inlineStr">
        <is>
          <t>Calvin #11</t>
        </is>
      </c>
      <c r="C61" s="8" t="inlineStr">
        <is>
          <t>Alto</t>
        </is>
      </c>
      <c r="D61" s="5" t="inlineStr">
        <is>
          <t>Estado de la tuerca no se reinicializa al arrancar, en reset ni después de un reinicio</t>
        </is>
      </c>
      <c r="E61" s="5" t="inlineStr">
        <is>
          <t>Código + prueba en celda</t>
        </is>
      </c>
      <c r="F61" s="5" t="inlineStr">
        <is>
          <t>Programador robot</t>
        </is>
      </c>
      <c r="G61" s="5" t="inlineStr">
        <is>
          <t>KRC/R1/System/$config.dat, KRC/R1/Program/Centerline/PRELOAD.src, KRC/R1/cell.src, KRC/R1/System/sps.sub</t>
        </is>
      </c>
      <c r="H61" s="5" t="inlineStr">
        <is>
          <t>• Existe una rutina de inicialización del estado de la tuerca, llamada desde el USER INIT de sps.sub y desde cell.src antes del primer ciclo (y desde la rutina de F10), que deja NUTCYCLE_ACTIVE = FALSE, NUT_PRELOAD_STEP = 0, STEP*DONE y STEP10_ADV_STARTED en FALSE, NUT_START y NEXT_NUT_REQUEST en FALSE, y NUT_READY / NEXT_NUT_READY a partir de la E/S real.
• La seguridad del ciclo ya no depende del valor inicial declarado en $config.dat.
• Prueba en celda: (a) cortar el ciclo a mitad de un preload y reiniciar el controlador: PRELOAD no retoma el paso y las banderas reflejan el pin; (b) reset del programa con tuerca precargada y sin ella: el siguiente ciclo no suelda sin tuerca ni alimenta una segunda. Anotar fecha y resultado.
• Comentarios del código cambiado según docs/CONVENTIONS.md (inglés, señal con dirección y nombre); los ;CHECK:/;NOTE:/;WARNING: que citan (F38) se quitan o se actualizan; el cambio está declarado en tools/code_changes.json y tools/check_equivalence.py pasa; ningún encabezado de inline form ni línea dentro de un fold de form cambia sin estar declarado (F32, F21, F31).</t>
        </is>
      </c>
      <c r="I61" s="5" t="inlineStr">
        <is>
          <t>F14, F10, F11, F13</t>
        </is>
      </c>
      <c r="J61" s="6" t="inlineStr">
        <is>
          <t>Abierto</t>
        </is>
      </c>
      <c r="K61" s="6" t="inlineStr"/>
      <c r="L61" s="6" t="inlineStr"/>
      <c r="M61" s="6" t="inlineStr"/>
      <c r="N61" s="6" t="inlineStr"/>
      <c r="O61" s="7" t="inlineStr">
        <is>
          <t>Alta (Calvin)</t>
        </is>
      </c>
      <c r="P61" s="7" t="inlineStr">
        <is>
          <t>2026-10-04</t>
        </is>
      </c>
      <c r="Q61" s="7" t="inlineStr">
        <is>
          <t>Revisión Ethos del respaldo 658424; el punto sale de la lista de Calvin (Calvin #11).</t>
        </is>
      </c>
    </row>
    <row r="62">
      <c r="A62" s="10" t="inlineStr">
        <is>
          <t>F39</t>
        </is>
      </c>
      <c r="B62" s="5" t="inlineStr">
        <is>
          <t>Calvin #16</t>
        </is>
      </c>
      <c r="C62" s="4" t="inlineStr">
        <is>
          <t>Medio</t>
        </is>
      </c>
      <c r="D62" s="5" t="inlineStr">
        <is>
          <t>Supervisión de par en cero; chequeo de datos de carga solo avisa; carga tecleada</t>
        </is>
      </c>
      <c r="E62" s="5" t="inlineStr">
        <is>
          <t>Configuración + prueba en celda</t>
        </is>
      </c>
      <c r="F62" s="5" t="inlineStr">
        <is>
          <t>Programador robot / Puesta en marcha</t>
        </is>
      </c>
      <c r="G62" s="5" t="inlineStr">
        <is>
          <t>KRC/STEU/Mada/$custom.dat, KRC/R1/System/$config.dat, KRC/R1/System/bas.src</t>
        </is>
      </c>
      <c r="H62" s="5" t="inlineStr">
        <is>
          <t>• En el respaldo $TORQMON_DEF y $TORQMON_COM_DEF tienen valores definidos, o la lista trae la justificación escrita (referencia al manual) de dejarlos en 0.
• $LDC_CONFIG[1] tiene la reacción acordada con Gestamp (p. ej. OVERLOAD #STOPROBOT), anotada.
• Prueba en celda después de G03: un ciclo completo en automático sin falsos paros por par ni por carga. Anotar fecha y valores.</t>
        </is>
      </c>
      <c r="I62" s="5" t="inlineStr">
        <is>
          <t>G03, C08, C09</t>
        </is>
      </c>
      <c r="J62" s="6" t="inlineStr">
        <is>
          <t>Abierto</t>
        </is>
      </c>
      <c r="K62" s="6" t="inlineStr"/>
      <c r="L62" s="6" t="inlineStr"/>
      <c r="M62" s="6" t="inlineStr"/>
      <c r="N62" s="6" t="inlineStr"/>
      <c r="O62" s="7" t="inlineStr">
        <is>
          <t>Alta (Calvin)</t>
        </is>
      </c>
      <c r="P62" s="7" t="inlineStr">
        <is>
          <t>2026-10-04</t>
        </is>
      </c>
      <c r="Q62" s="7" t="inlineStr">
        <is>
          <t>Revisión Ethos del respaldo 658424; el punto sale de la lista de Calvin (Calvin #16).</t>
        </is>
      </c>
    </row>
    <row r="63">
      <c r="A63" s="10" t="inlineStr">
        <is>
          <t>F40</t>
        </is>
      </c>
      <c r="B63" s="5" t="inlineStr">
        <is>
          <t>Calvin #25</t>
        </is>
      </c>
      <c r="C63" s="4" t="inlineStr">
        <is>
          <t>Medio</t>
        </is>
      </c>
      <c r="D63" s="5" t="inlineStr">
        <is>
          <t>Drops y reject abren el gripper sin confirmar pieza; el drop red rabbit se mueve antes de gripper vacío</t>
        </is>
      </c>
      <c r="E63" s="5" t="inlineStr">
        <is>
          <t>Código + prueba en celda</t>
        </is>
      </c>
      <c r="F63" s="5" t="inlineStr">
        <is>
          <t>Programador robot</t>
        </is>
      </c>
      <c r="G63" s="5" t="inlineStr">
        <is>
          <t>KRC/R1/Program/StyleDrops/Options/style1drop1opt1.src, KRC/R1/Program/StyleDrops/Options/style1drop1opt2AutoRR.src, KRC/R1/Program/Utilities/RejectGE4.src</t>
        </is>
      </c>
      <c r="H63" s="5" t="inlineStr">
        <is>
          <t>• En style1drop1opt1, style1drop1opt2AutoRR y RejectGE4 hay una espera de $IN[253] y $IN[254] ON antes del form que abre el gripper (fuera de dry cycle, como las demás esperas de pieza).
• En style1drop1opt2AutoRR la espera de gripper vacío está antes de LIN P23.
• Prueba en T1: quitar la pieza del gripper antes de llegar al drop: el robot se detiene antes de abrir con mensaje. Anotar fecha.
• Comentarios del código cambiado según docs/CONVENTIONS.md (inglés, señal con dirección y nombre); los ;CHECK:/;NOTE:/;WARNING: que citan (F40) se quitan o se actualizan; el cambio está declarado en tools/code_changes.json y tools/check_equivalence.py pasa; ningún encabezado de inline form ni línea dentro de un fold de form cambia sin estar declarado (F32, F21, F31).</t>
        </is>
      </c>
      <c r="I63" s="5" t="inlineStr">
        <is>
          <t>G14, G10, F31, F19</t>
        </is>
      </c>
      <c r="J63" s="6" t="inlineStr">
        <is>
          <t>Abierto</t>
        </is>
      </c>
      <c r="K63" s="6" t="inlineStr"/>
      <c r="L63" s="6" t="inlineStr"/>
      <c r="M63" s="6" t="inlineStr"/>
      <c r="N63" s="6" t="inlineStr"/>
      <c r="O63" s="7" t="inlineStr">
        <is>
          <t>Alta (Calvin)</t>
        </is>
      </c>
      <c r="P63" s="7" t="inlineStr">
        <is>
          <t>2026-10-04</t>
        </is>
      </c>
      <c r="Q63" s="7" t="inlineStr">
        <is>
          <t>Revisión Ethos del respaldo 658424; el punto sale de la lista de Calvin (Calvin #25).</t>
        </is>
      </c>
    </row>
    <row r="64">
      <c r="A64" s="10" t="inlineStr">
        <is>
          <t>F41</t>
        </is>
      </c>
      <c r="B64" s="5" t="inlineStr">
        <is>
          <t>Calvin Std 5</t>
        </is>
      </c>
      <c r="C64" s="9" t="inlineStr">
        <is>
          <t>Bajo</t>
        </is>
      </c>
      <c r="D64" s="5" t="inlineStr">
        <is>
          <t>Tiempos de PRELOAD, límite de flujo de agua y esperas fijas sin constantes</t>
        </is>
      </c>
      <c r="E64" s="5" t="inlineStr">
        <is>
          <t>Código</t>
        </is>
      </c>
      <c r="F64" s="5" t="inlineStr">
        <is>
          <t>Programador robot</t>
        </is>
      </c>
      <c r="G64" s="5" t="inlineStr">
        <is>
          <t>KRC/R1/Program/Centerline/PRELOAD.src, KRC/R1/System/sps.sub, KRC/R1/Program/Centerline/CENTERLINE_HOME.src, KRC/R1/Program/Centerline/centerline_weld.src, KRC/R1/System/$config.dat</t>
        </is>
      </c>
      <c r="H64" s="5" t="inlineStr">
        <is>
          <t>• En PRELOAD.src, sps.sub, CENTERLINE_HOME.src y centerline_weld.src no quedan esos números en líneas ejecutables: usan constantes de $config.dat con los mismos valores.
• Un ciclo completo en automático sin cambio de tiempo de ciclo. Anotar fecha.
• Comentarios del código cambiado según docs/CONVENTIONS.md (inglés, señal con dirección y nombre); los ;CHECK:/;NOTE:/;WARNING: que citan (F41) se quitan o se actualizan; el cambio está declarado en tools/code_changes.json y tools/check_equivalence.py pasa; ningún encabezado de inline form ni línea dentro de un fold de form cambia sin estar declarado (F32, F21, F31).</t>
        </is>
      </c>
      <c r="I64" s="5" t="inlineStr">
        <is>
          <t>G16, F26, F09</t>
        </is>
      </c>
      <c r="J64" s="6" t="inlineStr">
        <is>
          <t>Abierto</t>
        </is>
      </c>
      <c r="K64" s="6" t="inlineStr"/>
      <c r="L64" s="6" t="inlineStr"/>
      <c r="M64" s="6" t="inlineStr"/>
      <c r="N64" s="6" t="inlineStr"/>
      <c r="O64" s="7" t="inlineStr">
        <is>
          <t>Alta (Calvin)</t>
        </is>
      </c>
      <c r="P64" s="7" t="inlineStr">
        <is>
          <t>2026-10-04</t>
        </is>
      </c>
      <c r="Q64" s="7" t="inlineStr">
        <is>
          <t>Revisión Ethos del respaldo 658424; el punto sale de la lista de Calvin (Calvin Std 5).</t>
        </is>
      </c>
    </row>
    <row r="65">
      <c r="A65" s="10" t="inlineStr">
        <is>
          <t>F42</t>
        </is>
      </c>
      <c r="B65" s="5" t="inlineStr">
        <is>
          <t>Calvin #30</t>
        </is>
      </c>
      <c r="C65" s="9" t="inlineStr">
        <is>
          <t>Bajo</t>
        </is>
      </c>
      <c r="D65" s="5" t="inlineStr">
        <is>
          <t>Envolventes de trabajo por software apagadas</t>
        </is>
      </c>
      <c r="E65" s="5" t="inlineStr">
        <is>
          <t>Configuración / decisión</t>
        </is>
      </c>
      <c r="F65" s="5" t="inlineStr">
        <is>
          <t>Programador robot / Seguridad / Gestamp</t>
        </is>
      </c>
      <c r="G65" s="5" t="inlineStr">
        <is>
          <t>KRC/R1/Mada/$machine.dat, KRC/STEU/Mada/$custom.dat, C/KRC/Roboter/Config/User/Common/SafetyConfigData.xml</t>
        </is>
      </c>
      <c r="H65" s="5" t="inlineStr">
        <is>
          <t>• Decisión anotada en la lista (quién y fecha).
• Si se activan: valores en el respaldo y prueba en T1 de que el robot se detiene al entrar a la zona. Si no: captura de la configuración de SafeOperation (Cell area y espacios) adjunta.
• $WORKSPACE[1] y [2]: uso documentado (qué salida dan y quién la lee) o en #OFF.</t>
        </is>
      </c>
      <c r="I65" s="5" t="inlineStr">
        <is>
          <t>G02</t>
        </is>
      </c>
      <c r="J65" s="6" t="inlineStr">
        <is>
          <t>Requiere decisión</t>
        </is>
      </c>
      <c r="K65" s="6" t="inlineStr"/>
      <c r="L65" s="6" t="inlineStr"/>
      <c r="M65" s="6" t="inlineStr"/>
      <c r="N65" s="6" t="inlineStr"/>
      <c r="O65" s="7" t="inlineStr">
        <is>
          <t>Alta (Calvin)</t>
        </is>
      </c>
      <c r="P65" s="7" t="inlineStr">
        <is>
          <t>2026-10-04</t>
        </is>
      </c>
      <c r="Q65" s="7" t="inlineStr">
        <is>
          <t>Revisión Ethos del respaldo 658424; el punto sale de la lista de Calvin (Calvin #30).</t>
        </is>
      </c>
    </row>
    <row r="66">
      <c r="A66" s="10" t="inlineStr">
        <is>
          <t>F43</t>
        </is>
      </c>
      <c r="B66" s="5" t="inlineStr">
        <is>
          <t>Calvin #29</t>
        </is>
      </c>
      <c r="C66" s="4" t="inlineStr">
        <is>
          <t>Medio</t>
        </is>
      </c>
      <c r="D66" s="5" t="inlineStr">
        <is>
          <t>Cambio de electrodo: reset de stepper por pulso de 0.1 s y handshake que no cierra</t>
        </is>
      </c>
      <c r="E66" s="5" t="inlineStr">
        <is>
          <t>Decisión + código</t>
        </is>
      </c>
      <c r="F66" s="5" t="inlineStr">
        <is>
          <t>Programador robot / Gestamp controles</t>
        </is>
      </c>
      <c r="G66" s="5" t="inlineStr">
        <is>
          <t>KRC/R1/Program/Utilities/gunelectrodechange.src, KRC/R1/cell.src</t>
        </is>
      </c>
      <c r="H66" s="5" t="inlineStr">
        <is>
          <t>• Forma de pedir el cambio de electrodo acordada con Gestamp por escrito, y cell.src llama la rutina con esa petición, fuera de ciclo.
• El reset del stepper se confirma con $IN[487] (espera supervisada) en lugar de solo un pulso de 0.1 s.
• do092 y do091 se apagan siempre al terminar, después de que el PLC bajó su petición; ninguna salida del handshake queda en ON.
• Prueba en celda: petición, cambio, confirmación, reset de stepper confirmado y regreso a home. Anotar fecha.
• Comentarios del código cambiado según docs/CONVENTIONS.md (inglés, señal con dirección y nombre); los ;CHECK:/;NOTE:/;WARNING: que citan (F43) se quitan o se actualizan; el cambio está declarado en tools/code_changes.json y tools/check_equivalence.py pasa; ningún encabezado de inline form ni línea dentro de un fold de form cambia sin estar declarado (F32, F21, F31).</t>
        </is>
      </c>
      <c r="I66" s="5" t="inlineStr">
        <is>
          <t>F12, F15, C20</t>
        </is>
      </c>
      <c r="J66" s="6" t="inlineStr">
        <is>
          <t>Requiere decisión</t>
        </is>
      </c>
      <c r="K66" s="6" t="inlineStr"/>
      <c r="L66" s="6" t="inlineStr"/>
      <c r="M66" s="6" t="inlineStr"/>
      <c r="N66" s="6" t="inlineStr"/>
      <c r="O66" s="7" t="inlineStr">
        <is>
          <t>Riesgo activo</t>
        </is>
      </c>
      <c r="P66" s="7" t="inlineStr">
        <is>
          <t>2026-10-05</t>
        </is>
      </c>
      <c r="Q66" s="7" t="inlineStr">
        <is>
          <t>Con el background activo, el cambio de electrodo corre al final del stepper y espera $IN[92] del PLC en un diálogo; nunca se ha probado. Además $OUT[111] comparte bit del adaptador con $OUT[930] (F18).</t>
        </is>
      </c>
    </row>
    <row r="67">
      <c r="A67" s="10" t="inlineStr">
        <is>
          <t>F44</t>
        </is>
      </c>
      <c r="B67" s="5" t="inlineStr">
        <is>
          <t>Ethos</t>
        </is>
      </c>
      <c r="C67" s="8" t="inlineStr">
        <is>
          <t>Alto</t>
        </is>
      </c>
      <c r="D67" s="5" t="inlineStr">
        <is>
          <t>Palabra de presión del gun escrita en dos órdenes de bytes (405/1820 contra 39425)</t>
        </is>
      </c>
      <c r="E67" s="5" t="inlineStr">
        <is>
          <t>Código + prueba en celda</t>
        </is>
      </c>
      <c r="F67" s="5" t="inlineStr">
        <is>
          <t>Puesta en marcha / Programador robot</t>
        </is>
      </c>
      <c r="G67" s="5" t="inlineStr">
        <is>
          <t>KRC/R1/System/$config.dat, KRC/R1/Program/Centerline/centerline_weld.src, C/KRC/Roboter/Config/User/Common/KRC_IO.xml</t>
        </is>
      </c>
      <c r="H67" s="5" t="inlineStr">
        <is>
          <t>• Lecturas del ITV en reposo, con gun cerrado antes del intensify y durante el intensify, con fecha, y la configuración del regulador (orden de bytes y rango) anotadas en la lista.
• CL_GUN_PRESS_BASE, CL_GUN_PRESS_WELD y CL_GUN_PRESS_REST en $config.dat están en el mismo orden de bytes, el que confirma la lectura, y su comentario da la presión en MPa; la presión de soldadura sigue siendo la que Gestamp aprueba por escrito.
• La tabla de presiones del encabezado de CENTERLINE_WELD y los ;CHECK: (F44) se actualizan.
• Prueba en celda: un ciclo completo; el ITV muestra la presión esperada en cada fase y $IN[479] se cumple en el intensify. Anotar fecha y lecturas.
• Comentarios del código cambiado según docs/CONVENTIONS.md (inglés, señal con dirección y nombre); los ;CHECK:/;NOTE:/;WARNING: que citan (F44) se quitan o se actualizan; el cambio está declarado en tools/code_changes.json y tools/check_equivalence.py pasa; ningún encabezado de inline form ni línea dentro de un fold de form cambia sin estar declarado (F32, F21, F31).</t>
        </is>
      </c>
      <c r="I67" s="5" t="inlineStr">
        <is>
          <t>G16</t>
        </is>
      </c>
      <c r="J67" s="6" t="inlineStr">
        <is>
          <t>Abierto</t>
        </is>
      </c>
      <c r="K67" s="6" t="inlineStr"/>
      <c r="L67" s="6" t="inlineStr"/>
      <c r="M67" s="6" t="inlineStr"/>
      <c r="N67" s="6" t="inlineStr"/>
      <c r="O67" s="7" t="inlineStr">
        <is>
          <t>Alta (Ethos)</t>
        </is>
      </c>
      <c r="P67" s="7" t="inlineStr">
        <is>
          <t>2026-10-04</t>
        </is>
      </c>
      <c r="Q67" s="7" t="inlineStr">
        <is>
          <t>Revisión Ethos del respaldo 658424 (v431_03_10_r1.zip del 2026-10-02).</t>
        </is>
      </c>
    </row>
    <row r="68">
      <c r="A68" s="12" t="inlineStr">
        <is>
          <t>F45</t>
        </is>
      </c>
      <c r="B68" s="13" t="inlineStr">
        <is>
          <t>Calvin #23</t>
        </is>
      </c>
      <c r="C68" s="15" t="inlineStr">
        <is>
          <t>Bajo</t>
        </is>
      </c>
      <c r="D68" s="13" t="inlineStr">
        <is>
          <t>Rutinas de clamps: grippers 2-4 deshabilitados, solo existe el gripper 1</t>
        </is>
      </c>
      <c r="E68" s="13" t="inlineStr">
        <is>
          <t>Sin acción</t>
        </is>
      </c>
      <c r="F68" s="13" t="inlineStr">
        <is>
          <t>Programador robot</t>
        </is>
      </c>
      <c r="G68" s="13" t="inlineStr">
        <is>
          <t>KRC/R1/Program/Utilities/closeandcheckallclamps.src, KRC/R1/Program/Utilities/openandcheckallclamps.src, KRC/R1/TP/GripperSpotTech/grp_data.dat</t>
        </is>
      </c>
      <c r="H68" s="13" t="inlineStr">
        <is>
          <t>• Las rutinas siguen manejando solo el gripper 1 y su comentario lo dice (verificación de regresión en cada respaldo).
• Se reabre si el EOAT de R10 recibe un gripper 2-4 con función real.</t>
        </is>
      </c>
      <c r="I68" s="13" t="inlineStr"/>
      <c r="J68" s="13" t="inlineStr">
        <is>
          <t>Cerrado - depuración</t>
        </is>
      </c>
      <c r="K68" s="13" t="inlineStr"/>
      <c r="L68" s="13" t="inlineStr"/>
      <c r="M68" s="13" t="inlineStr"/>
      <c r="N68" s="13" t="inlineStr"/>
      <c r="O68" s="13" t="inlineStr">
        <is>
          <t>Alta (Calvin)</t>
        </is>
      </c>
      <c r="P68" s="13" t="inlineStr">
        <is>
          <t>2026-10-04</t>
        </is>
      </c>
      <c r="Q68" s="13" t="inlineStr">
        <is>
          <t>Revisión Ethos del respaldo 658424; el punto sale de la lista de Calvin (Calvin #23).</t>
        </is>
      </c>
    </row>
    <row r="69">
      <c r="A69" s="10" t="inlineStr">
        <is>
          <t>F46</t>
        </is>
      </c>
      <c r="B69" s="5" t="inlineStr">
        <is>
          <t>Ethos</t>
        </is>
      </c>
      <c r="C69" s="4" t="inlineStr">
        <is>
          <t>Medio</t>
        </is>
      </c>
      <c r="D69" s="5" t="inlineStr">
        <is>
          <t>EndOfCycle del proveedor editado: Work Complete nunca se manda al PLC</t>
        </is>
      </c>
      <c r="E69" s="5" t="inlineStr">
        <is>
          <t>Decisión Gestamp</t>
        </is>
      </c>
      <c r="F69" s="5" t="inlineStr">
        <is>
          <t>Gestamp controles / Ethos (Edgar)</t>
        </is>
      </c>
      <c r="G69" s="5" t="inlineStr">
        <is>
          <t>KRC/R1/TP/AutomationCore/automationcoreroutines.src, KRC/R1/cell.src</t>
        </is>
      </c>
      <c r="H69" s="5" t="inlineStr">
        <is>
          <t>• Decisión escrita de Gestamp (quién y fecha).
• Si se restaura: EndOfCycle es igual a la rutina estándar de AutomationCore (comparada con la de R20); el PLC maneja Work Complete. Prueba en celda: el PLC ve $OUT[15] do015WorkComplete en cada ciclo, contesta $IN[15] y $OUT[5] do005RobotInCycle baja al terminar. Anotar fecha.
• Si se mantiene: la edición está en la lista de C28 y el comentario de cell.src cita la decisión.
• Comentarios según docs/CONVENTIONS.md; el ;WARNING: (F46) de cell.src se quita o se actualiza.</t>
        </is>
      </c>
      <c r="I69" s="5" t="inlineStr">
        <is>
          <t>C28</t>
        </is>
      </c>
      <c r="J69" s="6" t="inlineStr">
        <is>
          <t>Requiere decisión</t>
        </is>
      </c>
      <c r="K69" s="6" t="inlineStr"/>
      <c r="L69" s="6" t="inlineStr"/>
      <c r="M69" s="6" t="inlineStr"/>
      <c r="N69" s="6" t="inlineStr"/>
      <c r="O69" s="7" t="inlineStr">
        <is>
          <t>Alta (Ethos)</t>
        </is>
      </c>
      <c r="P69" s="7" t="inlineStr">
        <is>
          <t>2026-10-04</t>
        </is>
      </c>
      <c r="Q69" s="7" t="inlineStr">
        <is>
          <t>Revisión Ethos del respaldo 658424 (v431_03_10_r1.zip del 2026-10-02).</t>
        </is>
      </c>
    </row>
    <row r="70">
      <c r="A70" s="10" t="inlineStr">
        <is>
          <t>F47</t>
        </is>
      </c>
      <c r="B70" s="5" t="inlineStr">
        <is>
          <t>Ethos</t>
        </is>
      </c>
      <c r="C70" s="4" t="inlineStr">
        <is>
          <t>Medio</t>
        </is>
      </c>
      <c r="D70" s="5" t="inlineStr">
        <is>
          <t>Camino del brake test enseñado con tool 3 / base 1 de otro robot</t>
        </is>
      </c>
      <c r="E70" s="5" t="inlineStr">
        <is>
          <t>Código + prueba en celda</t>
        </is>
      </c>
      <c r="F70" s="5" t="inlineStr">
        <is>
          <t>Programador robot / Puesta en marcha</t>
        </is>
      </c>
      <c r="G70" s="5" t="inlineStr">
        <is>
          <t>KRC/R1/TP/BrakeTest/braketeststart.src, KRC/R1/TP/BrakeTest/braketestback.src, KRC/R1/System/$config.dat</t>
        </is>
      </c>
      <c r="H70" s="5" t="inlineStr">
        <is>
          <t>• Los folds de braketeststart.src ya no muestran Tool[3] ni Base[1]:3-30-R1: usan tool 1 / base 0 o puntos de ejes.
• Prueba en T1 a velocidad reducida: el brake test sale de HOME, llega a su pose sin interferencia y regresa a HOME. Anotar fecha y override.
• La edición en archivos del proveedor queda en la lista de C28.
• Comentarios del código cambiado según docs/CONVENTIONS.md (inglés, señal con dirección y nombre); los ;CHECK:/;NOTE:/;WARNING: que citan (F47) se quitan o se actualizan; el cambio está declarado en tools/code_changes.json y tools/check_equivalence.py pasa; ningún encabezado de inline form ni línea dentro de un fold de form cambia sin estar declarado (F32, F21, F31).</t>
        </is>
      </c>
      <c r="I70" s="5" t="inlineStr">
        <is>
          <t>C28</t>
        </is>
      </c>
      <c r="J70" s="6" t="inlineStr">
        <is>
          <t>Abierto</t>
        </is>
      </c>
      <c r="K70" s="6" t="inlineStr"/>
      <c r="L70" s="6" t="inlineStr"/>
      <c r="M70" s="6" t="inlineStr"/>
      <c r="N70" s="6" t="inlineStr"/>
      <c r="O70" s="7" t="inlineStr">
        <is>
          <t>Alta (Ethos)</t>
        </is>
      </c>
      <c r="P70" s="7" t="inlineStr">
        <is>
          <t>2026-10-04</t>
        </is>
      </c>
      <c r="Q70" s="7" t="inlineStr">
        <is>
          <t>Revisión Ethos del respaldo 658424 (v431_03_10_r1.zip del 2026-10-02).</t>
        </is>
      </c>
    </row>
    <row r="71">
      <c r="A71" s="10" t="inlineStr">
        <is>
          <t>F48</t>
        </is>
      </c>
      <c r="B71" s="5" t="inlineStr">
        <is>
          <t>Ethos</t>
        </is>
      </c>
      <c r="C71" s="8" t="inlineStr">
        <is>
          <t>Alto</t>
        </is>
      </c>
      <c r="D71" s="5" t="inlineStr">
        <is>
          <t>Drop al conveyor: interlock de drop-off movido después de la aproximación (corregido); AtDrop3 re-enseñado (se conserva)</t>
        </is>
      </c>
      <c r="E71" s="5" t="inlineStr">
        <is>
          <t>Código + prueba en celda</t>
        </is>
      </c>
      <c r="F71" s="5" t="inlineStr">
        <is>
          <t>Programador robot / Gestamp controles</t>
        </is>
      </c>
      <c r="G71" s="5" t="inlineStr">
        <is>
          <t>KRC/R1/Program/StyleDrops/Options/style1drop1opt1.src, KRC/R1/Program/StyleDrops/Options/style1drop1opt1.dat</t>
        </is>
      </c>
      <c r="H71" s="5" t="inlineStr">
        <is>
          <t>• AC_DropOffCheck(1) antes del primer movimiento hacia el conveyor (versión integrada).
• Prueba en celda con la versión integrada: con $IN[75] di075DropOffMachine1 OFF el robot espera antes de moverse hacia el conveyor (mensaje de espera); con $IN[75] ON hace 5 ciclos dejando la pieza en AtDrop3 sin contacto ni marca. Anotar fecha y resultado.
• Respaldo completo con la versión integrada cargada: style1drop1opt1.src/.dat coinciden con el zip entregado (la auditoría lo compara).</t>
        </is>
      </c>
      <c r="I71" s="5" t="inlineStr"/>
      <c r="J71" s="6" t="inlineStr">
        <is>
          <t>Corregido en oficina - probar en celda</t>
        </is>
      </c>
      <c r="K71" s="6" t="inlineStr"/>
      <c r="L71" s="6" t="inlineStr"/>
      <c r="M71" s="6" t="inlineStr"/>
      <c r="N71" s="6" t="inlineStr"/>
      <c r="O71" s="7" t="inlineStr">
        <is>
          <t>Respaldo 14:46</t>
        </is>
      </c>
      <c r="P71" s="7" t="inlineStr">
        <is>
          <t>2026-10-05</t>
        </is>
      </c>
      <c r="Q71" s="7" t="inlineStr">
        <is>
          <t>El programador además quitó PTP P1: un LIN de 330 mm de P5 a AtDrop3 bajando 166 mm a unos 30°, con el permiso de drop-off en P5. En la versión integrada el robot espera el permiso en el punto de cámara P3 con la aplicación 1 ya liberada: mover AC_Application(1,TRUE) a después de salir de la cámara.</t>
        </is>
      </c>
    </row>
    <row r="72">
      <c r="A72" s="10" t="inlineStr">
        <is>
          <t>F49</t>
        </is>
      </c>
      <c r="B72" s="5" t="inlineStr">
        <is>
          <t>Ethos</t>
        </is>
      </c>
      <c r="C72" s="8" t="inlineStr">
        <is>
          <t>Alto</t>
        </is>
      </c>
      <c r="D72" s="5" t="inlineStr">
        <is>
          <t>AutomationCore_BKG activado y editado sin decisión registrada</t>
        </is>
      </c>
      <c r="E72" s="5" t="inlineStr">
        <is>
          <t>Decisión Gestamp + código</t>
        </is>
      </c>
      <c r="F72" s="5" t="inlineStr">
        <is>
          <t>Gestamp controles + Programador robot</t>
        </is>
      </c>
      <c r="G72" s="5" t="inlineStr">
        <is>
          <t>KRC/R1/System/sps.sub, KRC/R1/TP/AutomationCore/automationcoreroutines.src, KRC/R1/TP/AutomationCore/automationcoreroutines.dat</t>
        </is>
      </c>
      <c r="H72" s="5" t="inlineStr">
        <is>
          <t>• Decisión de Gestamp por escrito (activar AutomationCore_BKG; NutWeld_BKG sigue apagado o se decide aparte).
• Prueba en celda con el PLC: request to enter concedido solo sin gun en trabajo ni gripper/brake test/mastering en proceso; cada bit de estado leído en el PLC con su condición forzada; un cambio de electrodo completo (F43).
• Ediciones del proveedor listadas en la entrega (C28).</t>
        </is>
      </c>
      <c r="I72" s="5" t="inlineStr">
        <is>
          <t>F12, F43, C28</t>
        </is>
      </c>
      <c r="J72" s="6" t="inlineStr">
        <is>
          <t>Requiere decisión</t>
        </is>
      </c>
      <c r="K72" s="6" t="inlineStr"/>
      <c r="L72" s="6" t="inlineStr"/>
      <c r="M72" s="6" t="inlineStr"/>
      <c r="N72" s="6" t="inlineStr"/>
      <c r="O72" s="7" t="inlineStr">
        <is>
          <t>Revisión independiente - riesgos confirmados</t>
        </is>
      </c>
      <c r="P72" s="7" t="inlineStr">
        <is>
          <t>2026-10-05</t>
        </is>
      </c>
      <c r="Q72" s="7" t="inlineStr">
        <is>
          <t>(1) Request to Enter: con $OUT[930] pegado (F35) el robot ya no se detiene al pedir entrar. (2) El background escribe $OUT[481]/$OUT[482] (habilitaciones del Bosch) cada ciclo y pisa las de CENTERLINE_WELD; en dry cycle puede colgar WAIT FOR dipw1_Ready. (3) Cambio de electrodo activo sin probar (F43). (4) AC_MODE sin inicializar en el CWRITE del auto select. (5) do004ProcessFault en cada reset. (6) bACEntryGranted persistente. Corre así en el robot desde el 2026-10-05.</t>
        </is>
      </c>
    </row>
    <row r="73">
      <c r="A73" s="10" t="inlineStr">
        <is>
          <t>F50</t>
        </is>
      </c>
      <c r="B73" s="5" t="inlineStr">
        <is>
          <t>Ethos</t>
        </is>
      </c>
      <c r="C73" s="8" t="inlineStr">
        <is>
          <t>Alto</t>
        </is>
      </c>
      <c r="D73" s="5" t="inlineStr">
        <is>
          <t>Permiso de aplicación 1 (nut check / cámara) revisado después de llegar a P22</t>
        </is>
      </c>
      <c r="E73" s="5" t="inlineStr">
        <is>
          <t>Código + prueba en celda</t>
        </is>
      </c>
      <c r="F73" s="5" t="inlineStr">
        <is>
          <t>Programador robot</t>
        </is>
      </c>
      <c r="G73" s="5" t="inlineStr">
        <is>
          <t>KRC/R1/Program/StyleApps/Options/style1app2opt1.src</t>
        </is>
      </c>
      <c r="H73" s="5" t="inlineStr">
        <is>
          <t>• AC_ApplicationCheck(1) antes de PTP P22 en el respaldo.
• Prueba en celda: con $IN[70] OFF el robot espera antes de moverse a P22 (mensaje de espera); con $IN[70] ON el ciclo sigue normal. Anotar fecha y resultado.</t>
        </is>
      </c>
      <c r="I73" s="5" t="inlineStr"/>
      <c r="J73" s="6" t="inlineStr">
        <is>
          <t>Abierto</t>
        </is>
      </c>
      <c r="K73" s="6" t="inlineStr"/>
      <c r="L73" s="6" t="inlineStr"/>
      <c r="M73" s="6" t="inlineStr"/>
      <c r="N73" s="6" t="inlineStr"/>
      <c r="O73" s="7" t="inlineStr">
        <is>
          <t>Alta (auditoría)</t>
        </is>
      </c>
      <c r="P73" s="7" t="inlineStr">
        <is>
          <t>2026-10-05</t>
        </is>
      </c>
      <c r="Q73" s="7" t="inlineStr">
        <is>
          <t>Encontrado en el respaldo de las 14:46; confirmado por revisión independiente.</t>
        </is>
      </c>
    </row>
    <row r="74">
      <c r="A74" s="10" t="inlineStr">
        <is>
          <t>C01</t>
        </is>
      </c>
      <c r="B74" s="5" t="inlineStr">
        <is>
          <t>Ethos</t>
        </is>
      </c>
      <c r="C74" s="16" t="inlineStr">
        <is>
          <t>-</t>
        </is>
      </c>
      <c r="D74" s="5" t="inlineStr">
        <is>
          <t>AutomationCore_Bkg deshabilitado: el estatus al PLC no se actualiza</t>
        </is>
      </c>
      <c r="E74" s="5" t="inlineStr">
        <is>
          <t>Decisión Gestamp</t>
        </is>
      </c>
      <c r="F74" s="5" t="inlineStr">
        <is>
          <t>Gestamp controles / Ethos (Edgar)</t>
        </is>
      </c>
      <c r="G74" s="5" t="inlineStr">
        <is>
          <t>KRC/R1/System/sps.sub, KRC/R1/TP/AutomationCore/automationcoreroutines.src</t>
        </is>
      </c>
      <c r="H74" s="5" t="inlineStr">
        <is>
          <t>• Se cierra cuando se cierra F12.</t>
        </is>
      </c>
      <c r="I74" s="5" t="inlineStr">
        <is>
          <t>F12</t>
        </is>
      </c>
      <c r="J74" s="6" t="inlineStr">
        <is>
          <t>Se cierra con otro punto</t>
        </is>
      </c>
      <c r="K74" s="6" t="inlineStr"/>
      <c r="L74" s="6" t="inlineStr"/>
      <c r="M74" s="6" t="inlineStr"/>
      <c r="N74" s="6" t="inlineStr"/>
      <c r="O74" s="7" t="inlineStr">
        <is>
          <t>Alta (Ethos)</t>
        </is>
      </c>
      <c r="P74" s="7" t="inlineStr">
        <is>
          <t>2026-10-04</t>
        </is>
      </c>
      <c r="Q74" s="7" t="inlineStr">
        <is>
          <t>Revisión Ethos del respaldo 658424 (v431_03_10_r1.zip del 2026-10-02).</t>
        </is>
      </c>
    </row>
    <row r="75">
      <c r="A75" s="10" t="inlineStr">
        <is>
          <t>C02</t>
        </is>
      </c>
      <c r="B75" s="5" t="inlineStr">
        <is>
          <t>Ethos</t>
        </is>
      </c>
      <c r="C75" s="16" t="inlineStr">
        <is>
          <t>-</t>
        </is>
      </c>
      <c r="D75" s="5" t="inlineStr">
        <is>
          <t>Designación BMW-03-10-R1 en los encabezados; confirmar formato con Gestamp</t>
        </is>
      </c>
      <c r="E75" s="5" t="inlineStr">
        <is>
          <t>Información Gestamp</t>
        </is>
      </c>
      <c r="F75" s="5" t="inlineStr">
        <is>
          <t>Ethos (Edgar) / Gestamp controles</t>
        </is>
      </c>
      <c r="G75"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5" s="5" t="inlineStr">
        <is>
          <t>• Confirmación escrita de Gestamp del formato, nombre de línea y códigos de dispositivo.
• Los encabezados del respaldo usan ese formato; los módulos nuevos también.</t>
        </is>
      </c>
      <c r="I75" s="5" t="inlineStr"/>
      <c r="J75" s="6" t="inlineStr">
        <is>
          <t>Requiere decisión</t>
        </is>
      </c>
      <c r="K75" s="6" t="inlineStr"/>
      <c r="L75" s="6" t="inlineStr"/>
      <c r="M75" s="6" t="inlineStr"/>
      <c r="N75" s="6" t="inlineStr"/>
      <c r="O75" s="7" t="inlineStr">
        <is>
          <t>Alta (Ethos)</t>
        </is>
      </c>
      <c r="P75" s="7" t="inlineStr">
        <is>
          <t>2026-10-04</t>
        </is>
      </c>
      <c r="Q75" s="7" t="inlineStr">
        <is>
          <t>Revisión Ethos del respaldo 658424 (v431_03_10_r1.zip del 2026-10-02).</t>
        </is>
      </c>
    </row>
    <row r="76">
      <c r="A76" s="12" t="inlineStr">
        <is>
          <t>C03</t>
        </is>
      </c>
      <c r="B76" s="13" t="inlineStr">
        <is>
          <t>Ethos</t>
        </is>
      </c>
      <c r="C76" s="14" t="inlineStr">
        <is>
          <t>-</t>
        </is>
      </c>
      <c r="D76" s="13" t="inlineStr">
        <is>
          <t>Encabezado estándar Gestamp en cada módulo del integrador</t>
        </is>
      </c>
      <c r="E76" s="13" t="inlineStr">
        <is>
          <t>Sin acción</t>
        </is>
      </c>
      <c r="F76" s="13" t="inlineStr">
        <is>
          <t>Programador robot</t>
        </is>
      </c>
      <c r="G76" s="13"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6" s="13" t="inlineStr">
        <is>
          <t>• Ningún módulo que hoy tiene el bloque '; Gestamp Standards' lo pierde en el respaldo.
• Todo .src nuevo del integrador trae el bloque completo (Gestamp Standards / Line / Robot 03-10-R1 (designación) / Application) y un &amp;COMMENT con 03-10-R1.</t>
        </is>
      </c>
      <c r="I76" s="13" t="inlineStr"/>
      <c r="J76" s="13" t="inlineStr">
        <is>
          <t>Cerrado - depuración</t>
        </is>
      </c>
      <c r="K76" s="13" t="inlineStr"/>
      <c r="L76" s="13" t="inlineStr"/>
      <c r="M76" s="13" t="inlineStr"/>
      <c r="N76" s="13" t="inlineStr"/>
      <c r="O76" s="13" t="inlineStr">
        <is>
          <t>Alta (Ethos)</t>
        </is>
      </c>
      <c r="P76" s="13" t="inlineStr">
        <is>
          <t>2026-10-04</t>
        </is>
      </c>
      <c r="Q76" s="13" t="inlineStr">
        <is>
          <t>Revisión Ethos del respaldo 658424 (v431_03_10_r1.zip del 2026-10-02).</t>
        </is>
      </c>
    </row>
    <row r="77">
      <c r="A77" s="10" t="inlineStr">
        <is>
          <t>C04</t>
        </is>
      </c>
      <c r="B77" s="5" t="inlineStr">
        <is>
          <t>Ethos</t>
        </is>
      </c>
      <c r="C77" s="16" t="inlineStr">
        <is>
          <t>-</t>
        </is>
      </c>
      <c r="D77" s="5" t="inlineStr">
        <is>
          <t>Movimientos de pedestal interpolados sobre el dado fijo (external TCP)</t>
        </is>
      </c>
      <c r="E77" s="5" t="inlineStr">
        <is>
          <t>Código + prueba en celda</t>
        </is>
      </c>
      <c r="F77" s="5" t="inlineStr">
        <is>
          <t>Ethos (Edgar) / Programador robot</t>
        </is>
      </c>
      <c r="G77" s="5" t="inlineStr">
        <is>
          <t>KRC/R1/Program/StyleApps/Options/style1app1opt1.src, KRC/R1/Program/StyleApps/Options/style1app1opt2.src, KRC/R1/Program/StyleApps/Options/style1app1opt3.src, KRC/R1/Program/Utilities/RejectGE4.src, KRC/R1/Program/StyleApps/Options/style1app2opt2.src</t>
        </is>
      </c>
      <c r="H77" s="5" t="inlineStr">
        <is>
          <t>• Decisión escrita de la convención de frames del pedestal adjunta a la lista.
• Se cumplen los criterios de F22 y C05.
• General: comentarios nuevos o cambiados según docs/CONVENTIONS.md (inglés, señal con dirección); el comentario que cite (C04) se quita o se actualiza; ningún encabezado de inline form ni línea dentro de un fold de form cambia sin estar declarado (F32, F21, F31).</t>
        </is>
      </c>
      <c r="I77" s="5" t="inlineStr">
        <is>
          <t>C05, F22</t>
        </is>
      </c>
      <c r="J77" s="6" t="inlineStr">
        <is>
          <t>Requiere decisión</t>
        </is>
      </c>
      <c r="K77" s="6" t="inlineStr"/>
      <c r="L77" s="6" t="inlineStr"/>
      <c r="M77" s="6" t="inlineStr"/>
      <c r="N77" s="6" t="inlineStr"/>
      <c r="O77" s="7" t="inlineStr">
        <is>
          <t>Alta (Ethos)</t>
        </is>
      </c>
      <c r="P77" s="7" t="inlineStr">
        <is>
          <t>2026-10-04</t>
        </is>
      </c>
      <c r="Q77" s="7" t="inlineStr">
        <is>
          <t>Revisión Ethos del respaldo 658424 (v431_03_10_r1.zip del 2026-10-02).</t>
        </is>
      </c>
    </row>
    <row r="78">
      <c r="A78" s="10" t="inlineStr">
        <is>
          <t>C05</t>
        </is>
      </c>
      <c r="B78" s="5" t="inlineStr">
        <is>
          <t>Ethos</t>
        </is>
      </c>
      <c r="C78" s="16" t="inlineStr">
        <is>
          <t>-</t>
        </is>
      </c>
      <c r="D78" s="5" t="inlineStr">
        <is>
          <t>TCP remoto del pedestal (BASE_DATA[3]) sin medir</t>
        </is>
      </c>
      <c r="E78" s="5" t="inlineStr">
        <is>
          <t>Confirmar en sitio</t>
        </is>
      </c>
      <c r="F78" s="5" t="inlineStr">
        <is>
          <t>Puesta en marcha / Programador robot</t>
        </is>
      </c>
      <c r="G78" s="5" t="inlineStr">
        <is>
          <t>KRC/R1/System/$config.dat, KRC/R1/Program/StyleApps/Options/style1app1opt1.src, KRC/R1/Program/StyleApps/Options/style1app1opt2.src, KRC/R1/Program/StyleApps/Options/style1app1opt3.src, KRC/R1/Program/Utilities/RejectGE4.src, KRC/R1/Program/StyleApps/Options/style1app2opt2.src</t>
        </is>
      </c>
      <c r="H78" s="5" t="inlineStr">
        <is>
          <t>• Registro de medición adjunto: método KUKA de herramienta fija, referencia física, cómo se dio el desfase axial de 6.35 mm y la orientación X/Y, error mostrado, valores resultantes, fecha y verificación de mastering previa.
• BASE_DATA[3] del respaldo es el valor medido y BASE_NAME[3] sigue siendo NUT WELDER.
• Prueba en T1: con la pieza en una pose de soldadura, jog de orientación en external TCP: la pieza gira sobre el electrodo sin desplazarse; anotar resultado.
• En el mismo respaldo en que cambia BASE_DATA[3], cada punto en Base[3] (style1app1opt1..3, RejectGE4, style1app2opt2) está re-enseñado o la lista anota que se recorrió en T1 y quedó correcto.
• General: comentarios nuevos o cambiados según docs/CONVENTIONS.md (inglés, señal con dirección); el comentario que cite (C05) se quita o se actualiza; ningún encabezado de inline form ni línea dentro de un fold de form cambia sin estar declarado (F32, F21, F31).</t>
        </is>
      </c>
      <c r="I78" s="5" t="inlineStr"/>
      <c r="J78" s="6" t="inlineStr">
        <is>
          <t>Abierto</t>
        </is>
      </c>
      <c r="K78" s="6" t="inlineStr"/>
      <c r="L78" s="6" t="inlineStr"/>
      <c r="M78" s="6" t="inlineStr"/>
      <c r="N78" s="6" t="inlineStr"/>
      <c r="O78" s="7" t="inlineStr">
        <is>
          <t>Alta (Ethos)</t>
        </is>
      </c>
      <c r="P78" s="7" t="inlineStr">
        <is>
          <t>2026-10-04</t>
        </is>
      </c>
      <c r="Q78" s="7" t="inlineStr">
        <is>
          <t>Revisión Ethos del respaldo 658424 (v431_03_10_r1.zip del 2026-10-02).</t>
        </is>
      </c>
    </row>
    <row r="79">
      <c r="A79" s="10" t="inlineStr">
        <is>
          <t>C06</t>
        </is>
      </c>
      <c r="B79" s="5" t="inlineStr">
        <is>
          <t>Ethos</t>
        </is>
      </c>
      <c r="C79" s="16" t="inlineStr">
        <is>
          <t>-</t>
        </is>
      </c>
      <c r="D79" s="5" t="inlineStr">
        <is>
          <t>Herramientas y bases con nombre: nombres de otro proyecto</t>
        </is>
      </c>
      <c r="E79" s="5" t="inlineStr">
        <is>
          <t>Código + prueba en celda</t>
        </is>
      </c>
      <c r="F79" s="5" t="inlineStr">
        <is>
          <t>Programador robot</t>
        </is>
      </c>
      <c r="G79" s="5" t="inlineStr">
        <is>
          <t>KRC/R1/System/$config.dat, KRC/R1/TP/BrakeTest/braketeststart.src</t>
        </is>
      </c>
      <c r="H79" s="5" t="inlineStr">
        <is>
          <t>• En $config.dat TOOL_NAME y BASE_NAME de cada herramienta y base usada describen lo que son (p. ej. EOAT 1, NUT WELDER); las que no se usan quedan vacías o con su nombre real.
• Ningún movimiento de producción ni de servicio usa una herramienta o base sin nombre o con nombre de otro robot (F47 cerrado).
• Prueba: abrir un form de movimiento de cada módulo de producción y confirmar que muestra el nombre nuevo sin cambiar el punto (sin Touch Up). Anotar fecha.
• General: comentarios nuevos o cambiados según docs/CONVENTIONS.md (inglés, señal con dirección); el comentario que cite (C06) se quita o se actualiza; ningún encabezado de inline form ni línea dentro de un fold de form cambia sin estar declarado (F32, F21, F31).</t>
        </is>
      </c>
      <c r="I79" s="5" t="inlineStr">
        <is>
          <t>F47</t>
        </is>
      </c>
      <c r="J79" s="6" t="inlineStr">
        <is>
          <t>Abierto</t>
        </is>
      </c>
      <c r="K79" s="6" t="inlineStr"/>
      <c r="L79" s="6" t="inlineStr"/>
      <c r="M79" s="6" t="inlineStr"/>
      <c r="N79" s="6" t="inlineStr"/>
      <c r="O79" s="7" t="inlineStr">
        <is>
          <t>Alta (Ethos)</t>
        </is>
      </c>
      <c r="P79" s="7" t="inlineStr">
        <is>
          <t>2026-10-04</t>
        </is>
      </c>
      <c r="Q79" s="7" t="inlineStr">
        <is>
          <t>Revisión Ethos del respaldo 658424 (v431_03_10_r1.zip del 2026-10-02).</t>
        </is>
      </c>
    </row>
    <row r="80">
      <c r="A80" s="10" t="inlineStr">
        <is>
          <t>C07</t>
        </is>
      </c>
      <c r="B80" s="5" t="inlineStr">
        <is>
          <t>Ethos</t>
        </is>
      </c>
      <c r="C80" s="16" t="inlineStr">
        <is>
          <t>-</t>
        </is>
      </c>
      <c r="D80" s="5" t="inlineStr">
        <is>
          <t>Un user frame por utillaje: picks, nut check, reject y drops en WORLD</t>
        </is>
      </c>
      <c r="E80" s="5" t="inlineStr">
        <is>
          <t>Decisión Gestamp</t>
        </is>
      </c>
      <c r="F80" s="5" t="inlineStr">
        <is>
          <t>Gestamp controles / Ethos (Edgar)</t>
        </is>
      </c>
      <c r="G80" s="5" t="inlineStr">
        <is>
          <t>KRC/R1/Program/StylePicks/Options/style1pick1opt1.src, KRC/R1/Program/StylePicks/Options/style1pick1opt2.src, KRC/R1/Program/StylePicks/Options/style1pick1opt1AutoRR.src, KRC/R1/Program/StyleApps/Options/style1app2opt1.src, KRC/R1/Program/StyleApps/Options/style1app2opt2.src, KRC/R1/Program/Utilities/RejectGE4.src, KRC/R1/Program/StyleDrops/Options/style1drop1opt1.src, KRC/R1/Program/StyleDrops/Options/style1drop1opt2AutoRR.src, KRC/R1/System/$config.dat</t>
        </is>
      </c>
      <c r="H80" s="5" t="inlineStr">
        <is>
          <t>• Decisión escrita de Gestamp adjunta: (a) acepta WORLD y el punto se cierra sin cambio de código; o (b) exige una base por utillaje.
• Si (b): cada utillaje tiene su BASE_DATA medida y su BASE_NAME; los movimientos de aproximación, trabajo y salida usan esa base; registro de medición y prueba en T1 y en automático con fecha.
• General: comentarios nuevos o cambiados según docs/CONVENTIONS.md (inglés, señal con dirección); el comentario que cite (C07) se quita o se actualiza; ningún encabezado de inline form ni línea dentro de un fold de form cambia sin estar declarado (F32, F21, F31).</t>
        </is>
      </c>
      <c r="I80" s="5" t="inlineStr"/>
      <c r="J80" s="6" t="inlineStr">
        <is>
          <t>Requiere decisión</t>
        </is>
      </c>
      <c r="K80" s="6" t="inlineStr"/>
      <c r="L80" s="6" t="inlineStr"/>
      <c r="M80" s="6" t="inlineStr"/>
      <c r="N80" s="6" t="inlineStr"/>
      <c r="O80" s="7" t="inlineStr">
        <is>
          <t>Alta (Ethos)</t>
        </is>
      </c>
      <c r="P80" s="7" t="inlineStr">
        <is>
          <t>2026-10-04</t>
        </is>
      </c>
      <c r="Q80" s="7" t="inlineStr">
        <is>
          <t>Revisión Ethos del respaldo 658424 (v431_03_10_r1.zip del 2026-10-02).</t>
        </is>
      </c>
    </row>
    <row r="81">
      <c r="A81" s="10" t="inlineStr">
        <is>
          <t>C08</t>
        </is>
      </c>
      <c r="B81" s="5" t="inlineStr">
        <is>
          <t>Ethos</t>
        </is>
      </c>
      <c r="C81" s="16" t="inlineStr">
        <is>
          <t>-</t>
        </is>
      </c>
      <c r="D81" s="5" t="inlineStr">
        <is>
          <t>Datos de carga: LOAD_DATA[1] tecleado; sin carga con/sin pieza</t>
        </is>
      </c>
      <c r="E81" s="5" t="inlineStr">
        <is>
          <t>Código + prueba en celda</t>
        </is>
      </c>
      <c r="F81" s="5" t="inlineStr">
        <is>
          <t>Programador robot / Puesta en marcha</t>
        </is>
      </c>
      <c r="G81" s="5" t="inlineStr">
        <is>
          <t>KRC/R1/System/$config.dat,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t>
        </is>
      </c>
      <c r="H81" s="5" t="inlineStr">
        <is>
          <t>• LOAD_DATA[1] coincide con el resultado de LoadDataDetermination del EOAT 1 sin pieza.
• Si la carga con pieza difiere 5 % o más: otra herramienta con TOOL_DATA idéntico a TOOL_DATA[1], nombre y LOAD_DATA con pieza, usada por los movimientos con pieza (del cierre del gripper en el pick a su apertura en drop, drop red rabbit o reject); si difieren menos, la lista anota las dos masas.
• Ningún movimiento de producción usa una herramienta con LOAD_DATA por defecto o cero.
• General: comentarios nuevos o cambiados según docs/CONVENTIONS.md (inglés, señal con dirección); el comentario que cite (C08) se quita o se actualiza; ningún encabezado de inline form ni línea dentro de un fold de form cambia sin estar declarado (F32, F21, F31).</t>
        </is>
      </c>
      <c r="I81" s="5" t="inlineStr">
        <is>
          <t>G03, F39</t>
        </is>
      </c>
      <c r="J81" s="6" t="inlineStr">
        <is>
          <t>Abierto</t>
        </is>
      </c>
      <c r="K81" s="6" t="inlineStr"/>
      <c r="L81" s="6" t="inlineStr"/>
      <c r="M81" s="6" t="inlineStr"/>
      <c r="N81" s="6" t="inlineStr"/>
      <c r="O81" s="7" t="inlineStr">
        <is>
          <t>Alta (Ethos)</t>
        </is>
      </c>
      <c r="P81" s="7" t="inlineStr">
        <is>
          <t>2026-10-04</t>
        </is>
      </c>
      <c r="Q81" s="7" t="inlineStr">
        <is>
          <t>Revisión Ethos del respaldo 658424 (v431_03_10_r1.zip del 2026-10-02).</t>
        </is>
      </c>
    </row>
    <row r="82">
      <c r="A82" s="10" t="inlineStr">
        <is>
          <t>C09</t>
        </is>
      </c>
      <c r="B82" s="5" t="inlineStr">
        <is>
          <t>Ethos</t>
        </is>
      </c>
      <c r="C82" s="16" t="inlineStr">
        <is>
          <t>-</t>
        </is>
      </c>
      <c r="D82" s="5" t="inlineStr">
        <is>
          <t>Detección de colisión apagada en todo el programa; la reacción es un HALT</t>
        </is>
      </c>
      <c r="E82" s="5" t="inlineStr">
        <is>
          <t>Código + prueba en celda</t>
        </is>
      </c>
      <c r="F82" s="5" t="inlineStr">
        <is>
          <t>Programador robot / Puesta en marcha</t>
        </is>
      </c>
      <c r="G82" s="5" t="inlineStr">
        <is>
          <t>KRC/R1/System/$config.dat, KRC/R1/TP/AutomationCore/automationglobalpos.dat, KRC/R1/Program/tm_useraction.src,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KRC/R1/Program/HOME.src, KRC/R1/Program/Utilities/hometorepair.src, KRC/R1/Program/Utilities/repairtohome.src, KRC/R1/Program/masref_user.src</t>
        </is>
      </c>
      <c r="H82" s="5" t="inlineStr">
        <is>
          <t>• Opción A: detección activa (bTQM_KCPSTATUS = TRUE y TQ_STATE TRUE en los FDAT de los movimientos que corren en automático, incluidos FHOME y los de automationglobalpos.dat); excepciones anotadas con su razón; valores de sensibilidad anotados; ciclos en automático externo a 100 % sin disparo en falso, con número de ciclos y fecha.
• Opción B: aprobación escrita de Gestamp para operar sin detección de colisión, adjunta, y el ;NOTE: de tm_useraction la cita.
• General: comentarios nuevos o cambiados según docs/CONVENTIONS.md (inglés, señal con dirección); el comentario que cite (C09) se quita o se actualiza; ningún encabezado de inline form ni línea dentro de un fold de form cambia sin estar declarado (F32, F21, F31).</t>
        </is>
      </c>
      <c r="I82" s="5" t="inlineStr">
        <is>
          <t>C08, F39</t>
        </is>
      </c>
      <c r="J82" s="6" t="inlineStr">
        <is>
          <t>Abierto</t>
        </is>
      </c>
      <c r="K82" s="6" t="inlineStr"/>
      <c r="L82" s="6" t="inlineStr"/>
      <c r="M82" s="6" t="inlineStr"/>
      <c r="N82" s="6" t="inlineStr"/>
      <c r="O82" s="7" t="inlineStr">
        <is>
          <t>Alta (Ethos)</t>
        </is>
      </c>
      <c r="P82" s="7" t="inlineStr">
        <is>
          <t>2026-10-04</t>
        </is>
      </c>
      <c r="Q82" s="7" t="inlineStr">
        <is>
          <t>Revisión Ethos del respaldo 658424 (v431_03_10_r1.zip del 2026-10-02).</t>
        </is>
      </c>
    </row>
    <row r="83">
      <c r="A83" s="10" t="inlineStr">
        <is>
          <t>C10</t>
        </is>
      </c>
      <c r="B83" s="5" t="inlineStr">
        <is>
          <t>Ethos</t>
        </is>
      </c>
      <c r="C83" s="16" t="inlineStr">
        <is>
          <t>-</t>
        </is>
      </c>
      <c r="D83" s="5" t="inlineStr">
        <is>
          <t>Falta el programa de mastering ZERO_G1</t>
        </is>
      </c>
      <c r="E83" s="5" t="inlineStr">
        <is>
          <t>Código + prueba en celda</t>
        </is>
      </c>
      <c r="F83" s="5" t="inlineStr">
        <is>
          <t>Programador robot</t>
        </is>
      </c>
      <c r="G83" s="5" t="inlineStr">
        <is>
          <t>KRC/R1/Program/ZERO_G1.src (nuevo)</t>
        </is>
      </c>
      <c r="H83" s="5" t="inlineStr">
        <is>
          <t>• Existe ZERO_G1.src (y su .dat) en KRC/R1/Program con el bloque '; Gestamp Standards' y &amp;COMMENT, y está declarado en tools/code_changes.json (added_files).
• Arranca y termina en HOME; la pose de mastering es igual a $MAMES[1..6] de $machine.dat (A1 -20, A2 -120, A3 110, A4 0, A5 0, A6 0), con pausa explícita y mensaje que pide revisar las marcas; si no se alcanza en un paso, dos poses (A1-A3, luego A4-A6) con el visto bueno de Ingeniería Gestamp.
• Prueba en T1 con override reducido: HOME, pose de mastering y regreso sin contacto; foto de las marcas de cada eje; fecha.
• General: comentarios nuevos o cambiados según docs/CONVENTIONS.md (inglés, señal con dirección); el comentario que cite (C10) se quita o se actualiza; ningún encabezado de inline form ni línea dentro de un fold de form cambia sin estar declarado (F32, F21, F31).</t>
        </is>
      </c>
      <c r="I83" s="5" t="inlineStr"/>
      <c r="J83" s="6" t="inlineStr">
        <is>
          <t>Abierto</t>
        </is>
      </c>
      <c r="K83" s="6" t="inlineStr"/>
      <c r="L83" s="6" t="inlineStr"/>
      <c r="M83" s="6" t="inlineStr"/>
      <c r="N83" s="6" t="inlineStr"/>
      <c r="O83" s="7" t="inlineStr">
        <is>
          <t>Alta (Ethos)</t>
        </is>
      </c>
      <c r="P83" s="7" t="inlineStr">
        <is>
          <t>2026-10-04</t>
        </is>
      </c>
      <c r="Q83" s="7" t="inlineStr">
        <is>
          <t>Revisión Ethos del respaldo 658424 (v431_03_10_r1.zip del 2026-10-02).</t>
        </is>
      </c>
    </row>
    <row r="84">
      <c r="A84" s="10" t="inlineStr">
        <is>
          <t>C11</t>
        </is>
      </c>
      <c r="B84" s="5" t="inlineStr">
        <is>
          <t>Ethos</t>
        </is>
      </c>
      <c r="C84" s="16" t="inlineStr">
        <is>
          <t>-</t>
        </is>
      </c>
      <c r="D84" s="5" t="inlineStr">
        <is>
          <t>Zonas sin documentar: ninguna zona pedida, falta la forma NA-FM-71-138.1</t>
        </is>
      </c>
      <c r="E84" s="5" t="inlineStr">
        <is>
          <t>Información Gestamp</t>
        </is>
      </c>
      <c r="F84" s="5" t="inlineStr">
        <is>
          <t>Ethos (Edgar) / Gestamp controles</t>
        </is>
      </c>
      <c r="G84" s="5" t="inlineStr">
        <is>
          <t>KRC/R1/Program/Utilities/hometorepair.src, KRC/R1/Program/Utilities/repairtohome.src, KRC/R1/Program/Utilities/hometopounce.src, KRC/R1/Program/Styles/Options/style1opt1.src</t>
        </is>
      </c>
      <c r="H84" s="5" t="inlineStr">
        <is>
          <t>• NA-FM-71-138.1 llena y aprobada por Gestamp, adjunta (o constancia escrita de que R10 no comparte zonas).
• Toda zona de la forma tiene su petición y su liberación en el módulo correspondiente, con el comentario 'Zn ENTER/EXIT 03-10-R1 ... WITH &lt;robot socio&gt;' y el AC_CmdParam del form igual al número de zona.
• Prueba en celda por zona: R10 espera en la petición mientras la zona está ocupada y su salida de zona libre está OFF dentro y ON al salir; anotar fecha.
• General: comentarios nuevos o cambiados según docs/CONVENTIONS.md (inglés, señal con dirección); el comentario que cite (C11) se quita o se actualiza; ningún encabezado de inline form ni línea dentro de un fold de form cambia sin estar declarado (F32, F21, F31).</t>
        </is>
      </c>
      <c r="I84" s="5" t="inlineStr"/>
      <c r="J84" s="6" t="inlineStr">
        <is>
          <t>Requiere decisión</t>
        </is>
      </c>
      <c r="K84" s="6" t="inlineStr"/>
      <c r="L84" s="6" t="inlineStr"/>
      <c r="M84" s="6" t="inlineStr"/>
      <c r="N84" s="6" t="inlineStr"/>
      <c r="O84" s="7" t="inlineStr">
        <is>
          <t>Alta (Ethos)</t>
        </is>
      </c>
      <c r="P84" s="7" t="inlineStr">
        <is>
          <t>2026-10-04</t>
        </is>
      </c>
      <c r="Q84" s="7" t="inlineStr">
        <is>
          <t>Revisión Ethos del respaldo 658424 (v431_03_10_r1.zip del 2026-10-02).</t>
        </is>
      </c>
    </row>
    <row r="85">
      <c r="A85" s="10" t="inlineStr">
        <is>
          <t>C12</t>
        </is>
      </c>
      <c r="B85" s="5" t="inlineStr">
        <is>
          <t>Ethos</t>
        </is>
      </c>
      <c r="C85" s="16" t="inlineStr">
        <is>
          <t>-</t>
        </is>
      </c>
      <c r="D85" s="5" t="inlineStr">
        <is>
          <t>Pounce común: el ciclo no pasa por pounce y do007RobotAtPounce no se calcula</t>
        </is>
      </c>
      <c r="E85" s="5" t="inlineStr">
        <is>
          <t>Decisión Gestamp</t>
        </is>
      </c>
      <c r="F85" s="5" t="inlineStr">
        <is>
          <t>Gestamp controles / Ethos (Edgar)</t>
        </is>
      </c>
      <c r="G85" s="5" t="inlineStr">
        <is>
          <t>KRC/R1/Program/Utilities/hometopounce.src, KRC/R1/Program/Utilities/pouncetohome.src, KRC/R1/TP/AutomationCore/automationglobalpos.dat, KRC/R1/TP/AutomationCore/automationcoreroutines.src, KRC/R1/Program/Styles/Options/style1opt1.src, KRC/R1/Program/Styles/Options/Style1Opt10AutoRR.src, KRC/R1/cell.src</t>
        </is>
      </c>
      <c r="H85" s="5" t="inlineStr">
        <is>
          <t>• Decisión escrita de Gestamp adjunta.
• Si se exige: Style1Opt1 y Style1Opt10AutoRR pasan por el mismo pounce; XPOUNCE verificado en T1 con la herramienta 1; $OUT[7] se escribe cíclicamente y HomeCheck ejecuta PounceToHome con el robot en el pounce; prueba con fecha.
• Si no se exige: el comentario de HomeToPounce y PounceToHome dice que no se usan por decisión de Gestamp.
• General: comentarios nuevos o cambiados según docs/CONVENTIONS.md (inglés, señal con dirección); el comentario que cite (C12) se quita o se actualiza; ningún encabezado de inline form ni línea dentro de un fold de form cambia sin estar declarado (F32, F21, F31).</t>
        </is>
      </c>
      <c r="I85" s="5" t="inlineStr">
        <is>
          <t>F12</t>
        </is>
      </c>
      <c r="J85" s="6" t="inlineStr">
        <is>
          <t>Requiere decisión</t>
        </is>
      </c>
      <c r="K85" s="6" t="inlineStr"/>
      <c r="L85" s="6" t="inlineStr"/>
      <c r="M85" s="6" t="inlineStr"/>
      <c r="N85" s="6" t="inlineStr"/>
      <c r="O85" s="7" t="inlineStr">
        <is>
          <t>Alta (Ethos)</t>
        </is>
      </c>
      <c r="P85" s="7" t="inlineStr">
        <is>
          <t>2026-10-04</t>
        </is>
      </c>
      <c r="Q85" s="7" t="inlineStr">
        <is>
          <t>Revisión Ethos del respaldo 658424 (v431_03_10_r1.zip del 2026-10-02).</t>
        </is>
      </c>
    </row>
    <row r="86">
      <c r="A86" s="12" t="inlineStr">
        <is>
          <t>C13</t>
        </is>
      </c>
      <c r="B86" s="13" t="inlineStr">
        <is>
          <t>Ethos</t>
        </is>
      </c>
      <c r="C86" s="14" t="inlineStr">
        <is>
          <t>-</t>
        </is>
      </c>
      <c r="D86" s="13" t="inlineStr">
        <is>
          <t>Manejo de zonas coherente</t>
        </is>
      </c>
      <c r="E86" s="13" t="inlineStr">
        <is>
          <t>Sin acción</t>
        </is>
      </c>
      <c r="F86" s="13" t="inlineStr">
        <is>
          <t>Programador robot</t>
        </is>
      </c>
      <c r="G86" s="13" t="inlineStr">
        <is>
          <t>KRC/R1/Program/Utilities/hometorepair.src, KRC/R1/Program/Utilities/repairtohome.src, KRC/R1/Program/Utilities/hometopounce.src, KRC/R1/Program/Utilities/pouncetohome.src</t>
        </is>
      </c>
      <c r="H86" s="13" t="inlineStr">
        <is>
          <t>• Se reabre si C11 o C12 agregan zonas: entonces cada zona pedida se libera al salir de ella (no solo por MaintainSystem), con prueba en T1 de las salidas de zona libre.</t>
        </is>
      </c>
      <c r="I86" s="13" t="inlineStr">
        <is>
          <t>C11</t>
        </is>
      </c>
      <c r="J86" s="13" t="inlineStr">
        <is>
          <t>No aplica</t>
        </is>
      </c>
      <c r="K86" s="13" t="inlineStr"/>
      <c r="L86" s="13" t="inlineStr"/>
      <c r="M86" s="13" t="inlineStr"/>
      <c r="N86" s="13" t="inlineStr"/>
      <c r="O86" s="13" t="inlineStr">
        <is>
          <t>Alta (Ethos)</t>
        </is>
      </c>
      <c r="P86" s="13" t="inlineStr">
        <is>
          <t>2026-10-04</t>
        </is>
      </c>
      <c r="Q86" s="13" t="inlineStr">
        <is>
          <t>Revisión Ethos del respaldo 658424 (v431_03_10_r1.zip del 2026-10-02).</t>
        </is>
      </c>
    </row>
    <row r="87">
      <c r="A87" s="10" t="inlineStr">
        <is>
          <t>C14</t>
        </is>
      </c>
      <c r="B87" s="5" t="inlineStr">
        <is>
          <t>Ethos</t>
        </is>
      </c>
      <c r="C87" s="16" t="inlineStr">
        <is>
          <t>-</t>
        </is>
      </c>
      <c r="D87" s="5" t="inlineStr">
        <is>
          <t>Brake test: el 'due' no se reporta y el camino usa tool/base de otro robot</t>
        </is>
      </c>
      <c r="E87" s="5" t="inlineStr">
        <is>
          <t>Código + prueba en celda</t>
        </is>
      </c>
      <c r="F87" s="5" t="inlineStr">
        <is>
          <t>Programador robot</t>
        </is>
      </c>
      <c r="G87" s="5" t="inlineStr">
        <is>
          <t>KRC/R1/TP/BrakeTest/braketeststart.src, KRC/R1/TP/BrakeTest/braketestback.src, KRC/R1/cell.src, KRC/R1/System/sps.sub, KRC/R1/TP/AutomationCore/automationcoreroutines.src</t>
        </is>
      </c>
      <c r="H87" s="5" t="inlineStr">
        <is>
          <t>• $OUT[21] do021BrakeTestReqd se escribe en cada ciclo del submit con la condición de brake test pendiente.
• La señal de brake test en proceso se apaga después del último movimiento de regreso, con el robot en HOME, y su bit está acordado con Gestamp (F18).
• Prueba en celda: con el brake test pendiente el PLC ve do021 ON; al pedir di021 el robot sale de HOME, hace el test y regresa a HOME; do021 baja al terminar. Anotar fecha.
• La edición en archivos del proveedor queda listada en C28.
• General: comentarios nuevos o cambiados según docs/CONVENTIONS.md (inglés, señal con dirección); el comentario que cite (C14) se quita o se actualiza; ningún encabezado de inline form ni línea dentro de un fold de form cambia sin estar declarado (F32, F21, F31).</t>
        </is>
      </c>
      <c r="I87" s="5" t="inlineStr">
        <is>
          <t>F12, F18, F47</t>
        </is>
      </c>
      <c r="J87" s="6" t="inlineStr">
        <is>
          <t>Abierto</t>
        </is>
      </c>
      <c r="K87" s="6" t="inlineStr"/>
      <c r="L87" s="6" t="inlineStr"/>
      <c r="M87" s="6" t="inlineStr"/>
      <c r="N87" s="6" t="inlineStr"/>
      <c r="O87" s="7" t="inlineStr">
        <is>
          <t>Alta (Ethos)</t>
        </is>
      </c>
      <c r="P87" s="7" t="inlineStr">
        <is>
          <t>2026-10-04</t>
        </is>
      </c>
      <c r="Q87" s="7" t="inlineStr">
        <is>
          <t>Revisión Ethos del respaldo 658424 (v431_03_10_r1.zip del 2026-10-02).</t>
        </is>
      </c>
    </row>
    <row r="88">
      <c r="A88" s="10" t="inlineStr">
        <is>
          <t>C15</t>
        </is>
      </c>
      <c r="B88" s="5" t="inlineStr">
        <is>
          <t>Ethos</t>
        </is>
      </c>
      <c r="C88" s="16" t="inlineStr">
        <is>
          <t>-</t>
        </is>
      </c>
      <c r="D88" s="5" t="inlineStr">
        <is>
          <t>Dry cycle seleccionable y sin colgar el robot</t>
        </is>
      </c>
      <c r="E88" s="5" t="inlineStr">
        <is>
          <t>Código + prueba en celda</t>
        </is>
      </c>
      <c r="F88" s="5" t="inlineStr">
        <is>
          <t>Programador robot</t>
        </is>
      </c>
      <c r="G88" s="5" t="inlineStr">
        <is>
          <t>KRC/R1/Program/StyleApps/Options/style1app1opt1.src, KRC/R1/Program/StyleApps/Options/style1app1opt2.src, KRC/R1/Program/StyleApps/Options/style1app1opt3.src, KRC/R1/Program/Centerline/PRELOAD.src, KRC/R1/Program/StylePicks/Options/style1pick1opt1.src, KRC/R1/Program/StylePicks/Options/style1pick1opt2.src, KRC/R1/Program/StyleApps/Options/style1app2opt1.src, KRC/R1/Program/StyleApps/Options/style1app2opt2.src, KRC/R1/System/sps.sub</t>
        </is>
      </c>
      <c r="H88" s="5" t="inlineStr">
        <is>
          <t>• Se cierra cuando se cierran F04 y F05.</t>
        </is>
      </c>
      <c r="I88" s="5" t="inlineStr">
        <is>
          <t>F04, F05</t>
        </is>
      </c>
      <c r="J88" s="6" t="inlineStr">
        <is>
          <t>Se cierra con otro punto</t>
        </is>
      </c>
      <c r="K88" s="6" t="inlineStr"/>
      <c r="L88" s="6" t="inlineStr"/>
      <c r="M88" s="6" t="inlineStr"/>
      <c r="N88" s="6" t="inlineStr"/>
      <c r="O88" s="7" t="inlineStr">
        <is>
          <t>Alta (Ethos)</t>
        </is>
      </c>
      <c r="P88" s="7" t="inlineStr">
        <is>
          <t>2026-10-04</t>
        </is>
      </c>
      <c r="Q88" s="7" t="inlineStr">
        <is>
          <t>Revisión Ethos del respaldo 658424 (v431_03_10_r1.zip del 2026-10-02).</t>
        </is>
      </c>
    </row>
    <row r="89">
      <c r="A89" s="10" t="inlineStr">
        <is>
          <t>C16</t>
        </is>
      </c>
      <c r="B89" s="5" t="inlineStr">
        <is>
          <t>Ethos</t>
        </is>
      </c>
      <c r="C89" s="16" t="inlineStr">
        <is>
          <t>-</t>
        </is>
      </c>
      <c r="D89" s="5" t="inlineStr">
        <is>
          <t>Pieza presente / pieza en gripper</t>
        </is>
      </c>
      <c r="E89" s="5" t="inlineStr">
        <is>
          <t>Código + prueba en celda</t>
        </is>
      </c>
      <c r="F89" s="5" t="inlineStr">
        <is>
          <t>Programador robot</t>
        </is>
      </c>
      <c r="G89"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t>
        </is>
      </c>
      <c r="H89" s="5" t="inlineStr">
        <is>
          <t>• Se cierra cuando se cierran G09 y F40.
• Se reabre si un cambio quita o salta alguna espera de pieza fuera de dry cycle.</t>
        </is>
      </c>
      <c r="I89" s="5" t="inlineStr">
        <is>
          <t>G09, F40</t>
        </is>
      </c>
      <c r="J89" s="6" t="inlineStr">
        <is>
          <t>Se cierra con otro punto</t>
        </is>
      </c>
      <c r="K89" s="6" t="inlineStr"/>
      <c r="L89" s="6" t="inlineStr"/>
      <c r="M89" s="6" t="inlineStr"/>
      <c r="N89" s="6" t="inlineStr"/>
      <c r="O89" s="7" t="inlineStr">
        <is>
          <t>Alta (Ethos)</t>
        </is>
      </c>
      <c r="P89" s="7" t="inlineStr">
        <is>
          <t>2026-10-04</t>
        </is>
      </c>
      <c r="Q89" s="7" t="inlineStr">
        <is>
          <t>Revisión Ethos del respaldo 658424 (v431_03_10_r1.zip del 2026-10-02).</t>
        </is>
      </c>
    </row>
    <row r="90">
      <c r="A90" s="10" t="inlineStr">
        <is>
          <t>C17</t>
        </is>
      </c>
      <c r="B90" s="5" t="inlineStr">
        <is>
          <t>Ethos</t>
        </is>
      </c>
      <c r="C90" s="16" t="inlineStr">
        <is>
          <t>-</t>
        </is>
      </c>
      <c r="D90" s="5" t="inlineStr">
        <is>
          <t>Verificación de tuercas y red rabbit</t>
        </is>
      </c>
      <c r="E90" s="5" t="inlineStr">
        <is>
          <t>Código + prueba en celda</t>
        </is>
      </c>
      <c r="F90" s="5" t="inlineStr">
        <is>
          <t>Programador robot</t>
        </is>
      </c>
      <c r="G90" s="5" t="inlineStr">
        <is>
          <t>KRC/R1/Program/StyleApps/Options/style1app2opt1.src, KRC/R1/Program/StyleApps/Options/style1app2opt2.src, KRC/R1/Program/Styles/Options/style1opt1.src, KRC/R1/Program/Styles/Options/Style1Opt10AutoRR.src, KRC/R1/Program/StylePicks/Options/style1pick1opt1AutoRR.src, KRC/R1/Program/StyleDrops/Options/style1drop1opt2AutoRR.src, KRC/R1/Program/Utilities/RejectGE4.src, KRC/R1/System/$config.dat</t>
        </is>
      </c>
      <c r="H90" s="5" t="inlineStr">
        <is>
          <t>• Se cierra cuando se cierran F02, F03 y F19.</t>
        </is>
      </c>
      <c r="I90" s="5" t="inlineStr">
        <is>
          <t>F02, F03, F19</t>
        </is>
      </c>
      <c r="J90" s="6" t="inlineStr">
        <is>
          <t>Se cierra con otro punto</t>
        </is>
      </c>
      <c r="K90" s="6" t="inlineStr"/>
      <c r="L90" s="6" t="inlineStr"/>
      <c r="M90" s="6" t="inlineStr"/>
      <c r="N90" s="6" t="inlineStr"/>
      <c r="O90" s="7" t="inlineStr">
        <is>
          <t>Alta (Ethos)</t>
        </is>
      </c>
      <c r="P90" s="7" t="inlineStr">
        <is>
          <t>2026-10-04</t>
        </is>
      </c>
      <c r="Q90" s="7" t="inlineStr">
        <is>
          <t>Revisión Ethos del respaldo 658424 (v431_03_10_r1.zip del 2026-10-02).</t>
        </is>
      </c>
    </row>
    <row r="91">
      <c r="A91" s="10" t="inlineStr">
        <is>
          <t>C18</t>
        </is>
      </c>
      <c r="B91" s="5" t="inlineStr">
        <is>
          <t>Ethos</t>
        </is>
      </c>
      <c r="C91" s="16" t="inlineStr">
        <is>
          <t>-</t>
        </is>
      </c>
      <c r="D91" s="5" t="inlineStr">
        <is>
          <t>Handshakes AutomationCore de pick, application y drop</t>
        </is>
      </c>
      <c r="E91" s="5" t="inlineStr">
        <is>
          <t>Código + prueba en celda</t>
        </is>
      </c>
      <c r="F91" s="5" t="inlineStr">
        <is>
          <t>Programador robot</t>
        </is>
      </c>
      <c r="G91" s="5" t="inlineStr">
        <is>
          <t>KRC/R1/Program/Utilities/RejectGE4.src, KRC/R1/Program/StyleApps/Options/style1app2opt2.src, KRC/R1/Program/StylePicks/Options/style1pick1opt2.src, KRC/R1/Program/StyleDrops/Options/style1drop1opt1.src, KRC/R1/Program/StyleDrops/Options/style1drop1opt2AutoRR.src, KRC/R1/Program/Styles/Options/style1opt1.src, KRC/R1/TP/AutomationCore/automationcoreroutines.src</t>
        </is>
      </c>
      <c r="H91" s="5" t="inlineStr">
        <is>
          <t>• Se cierra cuando se cierran F20, F21 y F46.</t>
        </is>
      </c>
      <c r="I91" s="5" t="inlineStr">
        <is>
          <t>F20, F21, F46</t>
        </is>
      </c>
      <c r="J91" s="6" t="inlineStr">
        <is>
          <t>Se cierra con otro punto</t>
        </is>
      </c>
      <c r="K91" s="6" t="inlineStr"/>
      <c r="L91" s="6" t="inlineStr"/>
      <c r="M91" s="6" t="inlineStr"/>
      <c r="N91" s="6" t="inlineStr"/>
      <c r="O91" s="7" t="inlineStr">
        <is>
          <t>Alta (Ethos)</t>
        </is>
      </c>
      <c r="P91" s="7" t="inlineStr">
        <is>
          <t>2026-10-04</t>
        </is>
      </c>
      <c r="Q91" s="7" t="inlineStr">
        <is>
          <t>Revisión Ethos del respaldo 658424 (v431_03_10_r1.zip del 2026-10-02).</t>
        </is>
      </c>
    </row>
    <row r="92">
      <c r="A92" s="10" t="inlineStr">
        <is>
          <t>C19</t>
        </is>
      </c>
      <c r="B92" s="5" t="inlineStr">
        <is>
          <t>Ethos</t>
        </is>
      </c>
      <c r="C92" s="16" t="inlineStr">
        <is>
          <t>-</t>
        </is>
      </c>
      <c r="D92" s="5" t="inlineStr">
        <is>
          <t>Request to enter: doCriticalWZ nunca se escribe; el PLC ve entrada permitida</t>
        </is>
      </c>
      <c r="E92" s="5" t="inlineStr">
        <is>
          <t>Código + prueba en celda</t>
        </is>
      </c>
      <c r="F92" s="5" t="inlineStr">
        <is>
          <t>Programador robot / Seguridad</t>
        </is>
      </c>
      <c r="G92" s="5" t="inlineStr">
        <is>
          <t>KRC/R1/System/sps.sub, KRC/R1/TP/AutomationCore/automationcoreroutines.src, KRC/R1/Program/Centerline/PRELOAD.src, KRC/R1/Program/Centerline/centerline_weld.src</t>
        </is>
      </c>
      <c r="H92" s="5" t="inlineStr">
        <is>
          <t>• $OUT[145] doCriticalWZ se escribe en cada ciclo del submit.
• Su condición incluye PRELOAD con un paso activo y CENTERLINE_WELD en ejecución (o el estado real del pedestal), además de do930/do931/do932 ya corregidos (F35, F18).
• Prueba en celda: sin proceso de pedestal, $IN[6] detiene el robot en el siguiente punto con doCriticalWZ OFF; con un preload y con una soldadura en curso, doCriticalWZ queda ON mientras dura el proceso. Anotar fecha.
• Resultado de la revisión de seguridad de F11 adjunto.
• General: comentarios nuevos o cambiados según docs/CONVENTIONS.md (inglés, señal con dirección); el comentario que cite (C19) se quita o se actualiza; ningún encabezado de inline form ni línea dentro de un fold de form cambia sin estar declarado (F32, F21, F31).</t>
        </is>
      </c>
      <c r="I92" s="5" t="inlineStr">
        <is>
          <t>F12, F11, F35</t>
        </is>
      </c>
      <c r="J92" s="6" t="inlineStr">
        <is>
          <t>Requiere decisión</t>
        </is>
      </c>
      <c r="K92" s="6" t="inlineStr"/>
      <c r="L92" s="6" t="inlineStr"/>
      <c r="M92" s="6" t="inlineStr"/>
      <c r="N92" s="6" t="inlineStr"/>
      <c r="O92" s="7" t="inlineStr">
        <is>
          <t>Alta (Ethos)</t>
        </is>
      </c>
      <c r="P92" s="7" t="inlineStr">
        <is>
          <t>2026-10-04</t>
        </is>
      </c>
      <c r="Q92" s="7" t="inlineStr">
        <is>
          <t>Revisión Ethos del respaldo 658424 (v431_03_10_r1.zip del 2026-10-02).</t>
        </is>
      </c>
    </row>
    <row r="93">
      <c r="A93" s="10" t="inlineStr">
        <is>
          <t>C20</t>
        </is>
      </c>
      <c r="B93" s="5" t="inlineStr">
        <is>
          <t>Ethos</t>
        </is>
      </c>
      <c r="C93" s="16" t="inlineStr">
        <is>
          <t>-</t>
        </is>
      </c>
      <c r="D93" s="5" t="inlineStr">
        <is>
          <t>Conteo de soldaduras al final del ciclo: #CHECK apagado y WeldNoRequired distinto de 3</t>
        </is>
      </c>
      <c r="E93" s="5" t="inlineStr">
        <is>
          <t>Código + prueba en celda</t>
        </is>
      </c>
      <c r="F93" s="5" t="inlineStr">
        <is>
          <t>Programador robot</t>
        </is>
      </c>
      <c r="G93" s="5" t="inlineStr">
        <is>
          <t>KRC/R1/Program/Centerline/centerline_weld.src, KRC/R1/TP/AutomationCore/automationcoreroutines.src, KRC/R1/TP/AutomationCore/automationcoredata.dat</t>
        </is>
      </c>
      <c r="H93" s="5" t="inlineStr">
        <is>
          <t>• CENTERLINE_WELD llama AC_Process_Count(#Count1up) una vez por tuerca y solo con soldadura buena (F08).
• WeldNoRequired[1,1], [1,2], [1,7] y [1,8] = 3 (más las options que confirme F02) y la del red rabbit = 0.
• AC_Process_Count(#CHECK) se ejecuta al final de cada ciclo de producción y el conteo arranca en 0 en cada ciclo, también después de un ciclo cancelado.
• Prueba en celda: ciclo normal con do047 OFF; ciclo con una soldadura faltante (método seguro anotado) con do047 ON; ciclo cancelado seguido de uno completo con do047 OFF; resultado en dry cycle definido con F05. Anotar fecha.
• Si se modifica EndOfCycle, la edición queda listada en C28 (y es coherente con lo que decida F46).
• General: comentarios nuevos o cambiados según docs/CONVENTIONS.md (inglés, señal con dirección); el comentario que cite (C20) se quita o se actualiza; ningún encabezado de inline form ni línea dentro de un fold de form cambia sin estar declarado (F32, F21, F31).</t>
        </is>
      </c>
      <c r="I93" s="5" t="inlineStr">
        <is>
          <t>F46, F08, F02, F05</t>
        </is>
      </c>
      <c r="J93" s="6" t="inlineStr">
        <is>
          <t>Abierto</t>
        </is>
      </c>
      <c r="K93" s="6" t="inlineStr"/>
      <c r="L93" s="6" t="inlineStr"/>
      <c r="M93" s="6" t="inlineStr"/>
      <c r="N93" s="6" t="inlineStr"/>
      <c r="O93" s="7" t="inlineStr">
        <is>
          <t>Alta (Ethos)</t>
        </is>
      </c>
      <c r="P93" s="7" t="inlineStr">
        <is>
          <t>2026-10-04</t>
        </is>
      </c>
      <c r="Q93" s="7" t="inlineStr">
        <is>
          <t>Revisión Ethos del respaldo 658424 (v431_03_10_r1.zip del 2026-10-02).</t>
        </is>
      </c>
    </row>
    <row r="94">
      <c r="A94" s="10" t="inlineStr">
        <is>
          <t>C21</t>
        </is>
      </c>
      <c r="B94" s="5" t="inlineStr">
        <is>
          <t>Ethos</t>
        </is>
      </c>
      <c r="C94" s="16" t="inlineStr">
        <is>
          <t>-</t>
        </is>
      </c>
      <c r="D94" s="5" t="inlineStr">
        <is>
          <t>Fallas por mensajes AutomationCore: ningún HALT sin mensaje ni WAIT FOR FALSE</t>
        </is>
      </c>
      <c r="E94" s="5" t="inlineStr">
        <is>
          <t>Código + prueba en celda</t>
        </is>
      </c>
      <c r="F94" s="5" t="inlineStr">
        <is>
          <t>Programador robot</t>
        </is>
      </c>
      <c r="G94" s="5" t="inlineStr">
        <is>
          <t>KRC/R1/Program/Styles/style_1.src, KRC/R1/cell.src, KRC/R1/Program/Styles/Options/style1opt1.src, KRC/R1/Program/Centerline/centerline_weld.src, KRC/R1/Program/tm_useraction.src, KRC/R1/Program/Centerline/PRELOAD.src, KRC/R1/Program/Centerline/CENTERLINE_HOME.src,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t>
        </is>
      </c>
      <c r="H94" s="5" t="inlineStr">
        <is>
          <t>• F06, F07 y F15 cerrados.
• tm_useraction pone $OUT[4] do004ProcessFault ON y muestra un mensaje de celda que nombra la colisión antes de detener el programa.
• En KRC/R1/Program, cell.src y sps.sub no queda WAIT FOR FALSE, y cada HALT que quede va precedido de mensaje y $OUT[4] ON (salvo la pausa de ZERO_G1, C10).
• General: comentarios nuevos o cambiados según docs/CONVENTIONS.md (inglés, señal con dirección); el comentario que cite (C21) se quita o se actualiza; ningún encabezado de inline form ni línea dentro de un fold de form cambia sin estar declarado (F32, F21, F31).</t>
        </is>
      </c>
      <c r="I94" s="5" t="inlineStr">
        <is>
          <t>F06, F07, F15</t>
        </is>
      </c>
      <c r="J94" s="6" t="inlineStr">
        <is>
          <t>Abierto</t>
        </is>
      </c>
      <c r="K94" s="6" t="inlineStr"/>
      <c r="L94" s="6" t="inlineStr"/>
      <c r="M94" s="6" t="inlineStr"/>
      <c r="N94" s="6" t="inlineStr"/>
      <c r="O94" s="7" t="inlineStr">
        <is>
          <t>Alta (Ethos)</t>
        </is>
      </c>
      <c r="P94" s="7" t="inlineStr">
        <is>
          <t>2026-10-04</t>
        </is>
      </c>
      <c r="Q94" s="7" t="inlineStr">
        <is>
          <t>Revisión Ethos del respaldo 658424 (v431_03_10_r1.zip del 2026-10-02).</t>
        </is>
      </c>
    </row>
    <row r="95">
      <c r="A95" s="10" t="inlineStr">
        <is>
          <t>C22</t>
        </is>
      </c>
      <c r="B95" s="5" t="inlineStr">
        <is>
          <t>Ethos</t>
        </is>
      </c>
      <c r="C95" s="16" t="inlineStr">
        <is>
          <t>-</t>
        </is>
      </c>
      <c r="D95" s="5" t="inlineStr">
        <is>
          <t>Grippers por inline forms GripperTech</t>
        </is>
      </c>
      <c r="E95" s="5" t="inlineStr">
        <is>
          <t>Código + prueba en celda</t>
        </is>
      </c>
      <c r="F95" s="5" t="inlineStr">
        <is>
          <t>Programador robot / Puesta en marcha</t>
        </is>
      </c>
      <c r="G95"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95" s="5" t="inlineStr">
        <is>
          <t>• Se cumplen F31, F33 y F19: en los módulos listados toda acción de gripper es un form GripperTech del gripper 1 con parámetros iguales a la llamada.
• General: comentarios nuevos o cambiados según docs/CONVENTIONS.md (inglés, señal con dirección); el comentario que cite (C22) se quita o se actualiza; ningún encabezado de inline form ni línea dentro de un fold de form cambia sin estar declarado (F32, F21, F31).</t>
        </is>
      </c>
      <c r="I95" s="5" t="inlineStr">
        <is>
          <t>F31, F33, F19</t>
        </is>
      </c>
      <c r="J95" s="6" t="inlineStr">
        <is>
          <t>Abierto</t>
        </is>
      </c>
      <c r="K95" s="6" t="inlineStr"/>
      <c r="L95" s="6" t="inlineStr"/>
      <c r="M95" s="6" t="inlineStr"/>
      <c r="N95" s="6" t="inlineStr"/>
      <c r="O95" s="7" t="inlineStr">
        <is>
          <t>Alta (Ethos)</t>
        </is>
      </c>
      <c r="P95" s="7" t="inlineStr">
        <is>
          <t>2026-10-04</t>
        </is>
      </c>
      <c r="Q95" s="7" t="inlineStr">
        <is>
          <t>Revisión Ethos del respaldo 658424 (v431_03_10_r1.zip del 2026-10-02).</t>
        </is>
      </c>
    </row>
    <row r="96">
      <c r="A96" s="10" t="inlineStr">
        <is>
          <t>C23</t>
        </is>
      </c>
      <c r="B96" s="5" t="inlineStr">
        <is>
          <t>Ethos</t>
        </is>
      </c>
      <c r="C96" s="16" t="inlineStr">
        <is>
          <t>-</t>
        </is>
      </c>
      <c r="D96" s="5" t="inlineStr">
        <is>
          <t>Nombres AutomationCore para la E/S, sin direcciones literales</t>
        </is>
      </c>
      <c r="E96" s="5" t="inlineStr">
        <is>
          <t>Código</t>
        </is>
      </c>
      <c r="F96" s="5" t="inlineStr">
        <is>
          <t>Programador robot</t>
        </is>
      </c>
      <c r="G96" s="5" t="inlineStr">
        <is>
          <t>KRC/R1/Program/Centerline/centerline_weld.src, KRC/R1/Program/Centerline/PRELOAD.src, KRC/R1/Program/Centerline/CENTERLINE_HOME.src, KRC/R1/System/sps.sub, KRC/R1/System/$config.dat, KRC/R1/TP/AutomationCore/automationcoreroutines.dat</t>
        </is>
      </c>
      <c r="H96" s="5" t="inlineStr">
        <is>
          <t>• Se cierra cuando se cierran F17, F29 y F36.</t>
        </is>
      </c>
      <c r="I96" s="5" t="inlineStr">
        <is>
          <t>F17, F29, F36</t>
        </is>
      </c>
      <c r="J96" s="6" t="inlineStr">
        <is>
          <t>Se cierra con otro punto</t>
        </is>
      </c>
      <c r="K96" s="6" t="inlineStr"/>
      <c r="L96" s="6" t="inlineStr"/>
      <c r="M96" s="6" t="inlineStr"/>
      <c r="N96" s="6" t="inlineStr"/>
      <c r="O96" s="7" t="inlineStr">
        <is>
          <t>Alta (Ethos)</t>
        </is>
      </c>
      <c r="P96" s="7" t="inlineStr">
        <is>
          <t>2026-10-04</t>
        </is>
      </c>
      <c r="Q96" s="7" t="inlineStr">
        <is>
          <t>Revisión Ethos del respaldo 658424 (v431_03_10_r1.zip del 2026-10-02).</t>
        </is>
      </c>
    </row>
    <row r="97">
      <c r="A97" s="12" t="inlineStr">
        <is>
          <t>C24</t>
        </is>
      </c>
      <c r="B97" s="13" t="inlineStr">
        <is>
          <t>Ethos</t>
        </is>
      </c>
      <c r="C97" s="14" t="inlineStr">
        <is>
          <t>-</t>
        </is>
      </c>
      <c r="D97" s="13" t="inlineStr">
        <is>
          <t>Los comentarios nombran la señal con su dirección</t>
        </is>
      </c>
      <c r="E97" s="13" t="inlineStr">
        <is>
          <t>Sin acción</t>
        </is>
      </c>
      <c r="F97" s="13" t="inlineStr">
        <is>
          <t>Programador robot</t>
        </is>
      </c>
      <c r="G97" s="13"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97" s="13" t="inlineStr">
        <is>
          <t>• Toda acción de E/S o espera nueva o cambiada del respaldo tiene en las líneas de arriba un comentario con dirección y nombre declarado.
• Ningún comentario nuevo o cambiado escribe '$IN/$OUT[n] nombre' con un nombre no declarado en ese índice.</t>
        </is>
      </c>
      <c r="I97" s="13" t="inlineStr"/>
      <c r="J97" s="13" t="inlineStr">
        <is>
          <t>Cerrado - depuración</t>
        </is>
      </c>
      <c r="K97" s="13" t="inlineStr"/>
      <c r="L97" s="13" t="inlineStr"/>
      <c r="M97" s="13" t="inlineStr"/>
      <c r="N97" s="13" t="inlineStr"/>
      <c r="O97" s="13" t="inlineStr">
        <is>
          <t>Alta (Ethos)</t>
        </is>
      </c>
      <c r="P97" s="13" t="inlineStr">
        <is>
          <t>2026-10-04</t>
        </is>
      </c>
      <c r="Q97" s="13" t="inlineStr">
        <is>
          <t>Revisión Ethos del respaldo 658424 (v431_03_10_r1.zip del 2026-10-02).</t>
        </is>
      </c>
    </row>
    <row r="98">
      <c r="A98" s="10" t="inlineStr">
        <is>
          <t>C25</t>
        </is>
      </c>
      <c r="B98" s="5" t="inlineStr">
        <is>
          <t>Ethos</t>
        </is>
      </c>
      <c r="C98" s="16" t="inlineStr">
        <is>
          <t>-</t>
        </is>
      </c>
      <c r="D98" s="5" t="inlineStr">
        <is>
          <t>Inline forms consistentes con el código</t>
        </is>
      </c>
      <c r="E98" s="5" t="inlineStr">
        <is>
          <t>Código</t>
        </is>
      </c>
      <c r="F98" s="5" t="inlineStr">
        <is>
          <t>Programador robot</t>
        </is>
      </c>
      <c r="G98" s="5"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KRC/R1/Program/StyleApps/Options/style1app2opt2.src, KRC/R1/Program/StyleDrops/Options/style1drop1opt1.src, KRC/R1/Program/StyleDrops/Options/style1drop1opt2AutoRR.src, KRC/R1/Program/Utilities/RejectGE4.src</t>
        </is>
      </c>
      <c r="H98" s="5" t="inlineStr">
        <is>
          <t>• Se cierra cuando se cierran F21, F31 y F32.</t>
        </is>
      </c>
      <c r="I98" s="5" t="inlineStr">
        <is>
          <t>F21, F31, F32</t>
        </is>
      </c>
      <c r="J98" s="6" t="inlineStr">
        <is>
          <t>Se cierra con otro punto</t>
        </is>
      </c>
      <c r="K98" s="6" t="inlineStr"/>
      <c r="L98" s="6" t="inlineStr"/>
      <c r="M98" s="6" t="inlineStr"/>
      <c r="N98" s="6" t="inlineStr"/>
      <c r="O98" s="7" t="inlineStr">
        <is>
          <t>Alta (Ethos)</t>
        </is>
      </c>
      <c r="P98" s="7" t="inlineStr">
        <is>
          <t>2026-10-04</t>
        </is>
      </c>
      <c r="Q98" s="7" t="inlineStr">
        <is>
          <t>Revisión Ethos del respaldo 658424 (v431_03_10_r1.zip del 2026-10-02).</t>
        </is>
      </c>
    </row>
    <row r="99">
      <c r="A99" s="12" t="inlineStr">
        <is>
          <t>C26</t>
        </is>
      </c>
      <c r="B99" s="13" t="inlineStr">
        <is>
          <t>Ethos</t>
        </is>
      </c>
      <c r="C99" s="14" t="inlineStr">
        <is>
          <t>-</t>
        </is>
      </c>
      <c r="D99" s="13" t="inlineStr">
        <is>
          <t>Solo inglés en comentarios, títulos de fold y &amp;COMMENT</t>
        </is>
      </c>
      <c r="E99" s="13" t="inlineStr">
        <is>
          <t>Sin acción</t>
        </is>
      </c>
      <c r="F99" s="13" t="inlineStr">
        <is>
          <t>Programador robot</t>
        </is>
      </c>
      <c r="G99" s="13"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99" s="13" t="inlineStr">
        <is>
          <t>• No aparece texto en español en comentarios, títulos de fold o &amp;COMMENT nuevos o cambiados del respaldo.
• Si se renombra un identificador del integrador, se renombra en la declaración y en todas sus referencias en el mismo respaldo, y los módulos compilan.</t>
        </is>
      </c>
      <c r="I99" s="13" t="inlineStr"/>
      <c r="J99" s="13" t="inlineStr">
        <is>
          <t>Cerrado - depuración</t>
        </is>
      </c>
      <c r="K99" s="13" t="inlineStr"/>
      <c r="L99" s="13" t="inlineStr"/>
      <c r="M99" s="13" t="inlineStr"/>
      <c r="N99" s="13" t="inlineStr"/>
      <c r="O99" s="13" t="inlineStr">
        <is>
          <t>Alta (Ethos)</t>
        </is>
      </c>
      <c r="P99" s="13" t="inlineStr">
        <is>
          <t>2026-10-04</t>
        </is>
      </c>
      <c r="Q99" s="13" t="inlineStr">
        <is>
          <t>Revisión Ethos del respaldo 658424 (v431_03_10_r1.zip del 2026-10-02).</t>
        </is>
      </c>
    </row>
    <row r="100">
      <c r="A100" s="12" t="inlineStr">
        <is>
          <t>C27</t>
        </is>
      </c>
      <c r="B100" s="13" t="inlineStr">
        <is>
          <t>Ethos</t>
        </is>
      </c>
      <c r="C100" s="14" t="inlineStr">
        <is>
          <t>-</t>
        </is>
      </c>
      <c r="D100" s="13" t="inlineStr">
        <is>
          <t>Proceso controlado por robot no compartido; regla de dos procesos</t>
        </is>
      </c>
      <c r="E100" s="13" t="inlineStr">
        <is>
          <t>Sin acción</t>
        </is>
      </c>
      <c r="F100" s="13" t="inlineStr">
        <is>
          <t>Ethos (Edgar)</t>
        </is>
      </c>
      <c r="G100" s="13" t="inlineStr"/>
      <c r="H100" s="13" t="inlineStr">
        <is>
          <t>• Se reabre solo si R10 pasa de dos procesos o si otro robot empieza a usar el pedestal CenterLine.</t>
        </is>
      </c>
      <c r="I100" s="13" t="inlineStr"/>
      <c r="J100" s="13" t="inlineStr">
        <is>
          <t>No aplica</t>
        </is>
      </c>
      <c r="K100" s="13" t="inlineStr"/>
      <c r="L100" s="13" t="inlineStr"/>
      <c r="M100" s="13" t="inlineStr"/>
      <c r="N100" s="13" t="inlineStr"/>
      <c r="O100" s="13" t="inlineStr">
        <is>
          <t>Alta (Ethos)</t>
        </is>
      </c>
      <c r="P100" s="13" t="inlineStr">
        <is>
          <t>2026-10-04</t>
        </is>
      </c>
      <c r="Q100" s="13" t="inlineStr">
        <is>
          <t>Revisión Ethos del respaldo 658424 (v431_03_10_r1.zip del 2026-10-02).</t>
        </is>
      </c>
    </row>
    <row r="101">
      <c r="A101" s="10" t="inlineStr">
        <is>
          <t>C28</t>
        </is>
      </c>
      <c r="B101" s="5" t="inlineStr">
        <is>
          <t>Ethos</t>
        </is>
      </c>
      <c r="C101" s="16" t="inlineStr">
        <is>
          <t>-</t>
        </is>
      </c>
      <c r="D101" s="5" t="inlineStr">
        <is>
          <t>Ediciones del integrador en archivos del proveedor: listarlas en la entrega</t>
        </is>
      </c>
      <c r="E101" s="5" t="inlineStr">
        <is>
          <t>Procedimiento</t>
        </is>
      </c>
      <c r="F101" s="5" t="inlineStr">
        <is>
          <t>Ethos (Edgar) / Programador robot</t>
        </is>
      </c>
      <c r="G101" s="5" t="inlineStr">
        <is>
          <t>KRC/R1/System/bas.src, KRC/R1/TP/AutomationCore/automationcoreroutines.src, KRC/R1/TP/AutomationCore/automationcoreroutines.dat, KRC/R1/TP/GripperSpotTech/Grp_Func.src, KRC/R1/TP/GripperSpotTech/grp_user.src, KRC/R1/TP/BrakeTest/braketeststart.src, KRC/R1/TP/BrakeTest/braketestback.src, KRC/R1/TP/GLUETECH, KRC/R1/Program/MoveToPurge.src</t>
        </is>
      </c>
      <c r="H101" s="5" t="inlineStr">
        <is>
          <t>• Documento de entrega adjunto con las ediciones de la sección 'Integrator edits found inside vendor files' de docs/FINDINGS.md más las nuevas, cada una con archivo, rutina o fold, cambio y razón.
• En cada respaldo, todo cambio en archivos KUKA de sistema o de tech package (KRC/R1/TP/**, KRC/R1/System/ salvo $config.dat y sps.sub) o en machine data, respecto al último estado auditado, aparece en esa lista con fecha; un cambio sin listar reabre el punto.
• La versión final refleja lo decidido en F12, F46 y lo cambiado por C09, C12, C14, C19, C20, C22, F17, F36 y F47.</t>
        </is>
      </c>
      <c r="I101" s="5" t="inlineStr">
        <is>
          <t>F12, F46, C09, C12, C14, C19, C20</t>
        </is>
      </c>
      <c r="J101" s="6" t="inlineStr">
        <is>
          <t>Abierto</t>
        </is>
      </c>
      <c r="K101" s="6" t="inlineStr"/>
      <c r="L101" s="6" t="inlineStr"/>
      <c r="M101" s="6" t="inlineStr"/>
      <c r="N101" s="6" t="inlineStr"/>
      <c r="O101" s="7" t="inlineStr">
        <is>
          <t>Integrado - ediciones listadas</t>
        </is>
      </c>
      <c r="P101" s="7" t="inlineStr">
        <is>
          <t>2026-10-05</t>
        </is>
      </c>
      <c r="Q101" s="7" t="inlineStr">
        <is>
          <t>Ediciones del proveedor integradas y declaradas en tools/code_changes.json: automationcoreroutines.src/.dat, nutweldroutines.dat.</t>
        </is>
      </c>
    </row>
  </sheetData>
  <autoFilter ref="A1:Q101"/>
  <conditionalFormatting sqref="A2:Q101">
    <cfRule type="expression" priority="1" dxfId="0" stopIfTrue="1">
      <formula>OR($J2="Cerrado - auditado",$J2="Cerrado - depuración",$J2="Aceptado sin cambio",$J2="No aplica",$J2="Sin acción - documentado")</formula>
    </cfRule>
  </conditionalFormatting>
  <dataValidations count="1">
    <dataValidation sqref="J2:J101" showDropDown="0" showInputMessage="0" showErrorMessage="1" allowBlank="0" errorTitle="Estado" error="Elige un estado de la lista (hoja Instrucciones)." type="list">
      <formula1>"Abierto,Requiere decisión,Corregido en oficina - probar en celda,En proceso,Corregido - por auditar,Cerrado - auditado,Reabierto,Aceptado sin cambio,Cerrado - depuración,No aplica,Sin acción - documentado,Se cierra con otro punto"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0" customWidth="1" min="2" max="2"/>
    <col width="12" customWidth="1" min="3" max="3"/>
  </cols>
  <sheetData>
    <row r="1">
      <c r="A1" s="17" t="inlineStr">
        <is>
          <t>Resumen de puntos abiertos</t>
        </is>
      </c>
    </row>
    <row r="2">
      <c r="A2" s="18" t="inlineStr">
        <is>
          <t>Generado 2026-10-05 13:05 (hora del centro de México)</t>
        </is>
      </c>
    </row>
    <row r="3">
      <c r="A3" s="19" t="inlineStr">
        <is>
          <t>Estado</t>
        </is>
      </c>
      <c r="B3" s="19" t="inlineStr">
        <is>
          <t>Puntos</t>
        </is>
      </c>
    </row>
    <row r="4">
      <c r="A4" s="20" t="inlineStr">
        <is>
          <t>Abierto</t>
        </is>
      </c>
      <c r="B4" s="20">
        <f>COUNTIF('Puntos abiertos'!$J$2:$J$101,A4)</f>
        <v/>
      </c>
    </row>
    <row r="5">
      <c r="A5" s="20" t="inlineStr">
        <is>
          <t>Requiere decisión</t>
        </is>
      </c>
      <c r="B5" s="20">
        <f>COUNTIF('Puntos abiertos'!$J$2:$J$101,A5)</f>
        <v/>
      </c>
    </row>
    <row r="6">
      <c r="A6" s="20" t="inlineStr">
        <is>
          <t>Corregido en oficina - probar en celda</t>
        </is>
      </c>
      <c r="B6" s="20">
        <f>COUNTIF('Puntos abiertos'!$J$2:$J$101,A6)</f>
        <v/>
      </c>
    </row>
    <row r="7">
      <c r="A7" s="20" t="inlineStr">
        <is>
          <t>En proceso</t>
        </is>
      </c>
      <c r="B7" s="20">
        <f>COUNTIF('Puntos abiertos'!$J$2:$J$101,A7)</f>
        <v/>
      </c>
    </row>
    <row r="8">
      <c r="A8" s="20" t="inlineStr">
        <is>
          <t>Corregido - por auditar</t>
        </is>
      </c>
      <c r="B8" s="20">
        <f>COUNTIF('Puntos abiertos'!$J$2:$J$101,A8)</f>
        <v/>
      </c>
    </row>
    <row r="9">
      <c r="A9" s="20" t="inlineStr">
        <is>
          <t>Cerrado - auditado</t>
        </is>
      </c>
      <c r="B9" s="20">
        <f>COUNTIF('Puntos abiertos'!$J$2:$J$101,A9)</f>
        <v/>
      </c>
    </row>
    <row r="10">
      <c r="A10" s="20" t="inlineStr">
        <is>
          <t>Reabierto</t>
        </is>
      </c>
      <c r="B10" s="20">
        <f>COUNTIF('Puntos abiertos'!$J$2:$J$101,A10)</f>
        <v/>
      </c>
    </row>
    <row r="11">
      <c r="A11" s="20" t="inlineStr">
        <is>
          <t>Aceptado sin cambio</t>
        </is>
      </c>
      <c r="B11" s="20">
        <f>COUNTIF('Puntos abiertos'!$J$2:$J$101,A11)</f>
        <v/>
      </c>
    </row>
    <row r="12">
      <c r="A12" s="20" t="inlineStr">
        <is>
          <t>Cerrado - depuración</t>
        </is>
      </c>
      <c r="B12" s="20">
        <f>COUNTIF('Puntos abiertos'!$J$2:$J$101,A12)</f>
        <v/>
      </c>
    </row>
    <row r="13">
      <c r="A13" s="20" t="inlineStr">
        <is>
          <t>No aplica</t>
        </is>
      </c>
      <c r="B13" s="20">
        <f>COUNTIF('Puntos abiertos'!$J$2:$J$101,A13)</f>
        <v/>
      </c>
    </row>
    <row r="14">
      <c r="A14" s="20" t="inlineStr">
        <is>
          <t>Sin acción - documentado</t>
        </is>
      </c>
      <c r="B14" s="20">
        <f>COUNTIF('Puntos abiertos'!$J$2:$J$101,A14)</f>
        <v/>
      </c>
    </row>
    <row r="15">
      <c r="A15" s="20" t="inlineStr">
        <is>
          <t>Se cierra con otro punto</t>
        </is>
      </c>
      <c r="B15" s="20">
        <f>COUNTIF('Puntos abiertos'!$J$2:$J$101,A15)</f>
        <v/>
      </c>
    </row>
    <row r="16">
      <c r="A16" s="21" t="inlineStr">
        <is>
          <t>Total</t>
        </is>
      </c>
      <c r="B16" s="21">
        <f>SUM(B4:B15)</f>
        <v/>
      </c>
    </row>
    <row r="18">
      <c r="A18" s="19" t="inlineStr">
        <is>
          <t>Severidad</t>
        </is>
      </c>
      <c r="B18" s="19" t="inlineStr">
        <is>
          <t>Total</t>
        </is>
      </c>
      <c r="C18" s="19" t="inlineStr">
        <is>
          <t>Pendientes</t>
        </is>
      </c>
    </row>
    <row r="19">
      <c r="A19" s="20" t="inlineStr">
        <is>
          <t>Crítico</t>
        </is>
      </c>
      <c r="B19" s="20">
        <f>COUNTIF('Puntos abiertos'!$C$2:$C$101,A19)</f>
        <v/>
      </c>
      <c r="C19" s="20">
        <f>COUNTIFS('Puntos abiertos'!$C$2:$C$101,A19,'Puntos abiertos'!$J$2:$J$101,"Abierto")+COUNTIFS('Puntos abiertos'!$C$2:$C$101,A19,'Puntos abiertos'!$J$2:$J$101,"Requiere decisión")+COUNTIFS('Puntos abiertos'!$C$2:$C$101,A19,'Puntos abiertos'!$J$2:$J$101,"Corregido en oficina - probar en celda")+COUNTIFS('Puntos abiertos'!$C$2:$C$101,A19,'Puntos abiertos'!$J$2:$J$101,"En proceso")+COUNTIFS('Puntos abiertos'!$C$2:$C$101,A19,'Puntos abiertos'!$J$2:$J$101,"Corregido - por auditar")+COUNTIFS('Puntos abiertos'!$C$2:$C$101,A19,'Puntos abiertos'!$J$2:$J$101,"Reabierto")</f>
        <v/>
      </c>
    </row>
    <row r="20">
      <c r="A20" s="20" t="inlineStr">
        <is>
          <t>Alto</t>
        </is>
      </c>
      <c r="B20" s="20">
        <f>COUNTIF('Puntos abiertos'!$C$2:$C$101,A20)</f>
        <v/>
      </c>
      <c r="C20" s="20">
        <f>COUNTIFS('Puntos abiertos'!$C$2:$C$101,A20,'Puntos abiertos'!$J$2:$J$101,"Abierto")+COUNTIFS('Puntos abiertos'!$C$2:$C$101,A20,'Puntos abiertos'!$J$2:$J$101,"Requiere decisión")+COUNTIFS('Puntos abiertos'!$C$2:$C$101,A20,'Puntos abiertos'!$J$2:$J$101,"Corregido en oficina - probar en celda")+COUNTIFS('Puntos abiertos'!$C$2:$C$101,A20,'Puntos abiertos'!$J$2:$J$101,"En proceso")+COUNTIFS('Puntos abiertos'!$C$2:$C$101,A20,'Puntos abiertos'!$J$2:$J$101,"Corregido - por auditar")+COUNTIFS('Puntos abiertos'!$C$2:$C$101,A20,'Puntos abiertos'!$J$2:$J$101,"Reabierto")</f>
        <v/>
      </c>
    </row>
    <row r="21">
      <c r="A21" s="20" t="inlineStr">
        <is>
          <t>Medio</t>
        </is>
      </c>
      <c r="B21" s="20">
        <f>COUNTIF('Puntos abiertos'!$C$2:$C$101,A21)</f>
        <v/>
      </c>
      <c r="C21" s="20">
        <f>COUNTIFS('Puntos abiertos'!$C$2:$C$101,A21,'Puntos abiertos'!$J$2:$J$101,"Abierto")+COUNTIFS('Puntos abiertos'!$C$2:$C$101,A21,'Puntos abiertos'!$J$2:$J$101,"Requiere decisión")+COUNTIFS('Puntos abiertos'!$C$2:$C$101,A21,'Puntos abiertos'!$J$2:$J$101,"Corregido en oficina - probar en celda")+COUNTIFS('Puntos abiertos'!$C$2:$C$101,A21,'Puntos abiertos'!$J$2:$J$101,"En proceso")+COUNTIFS('Puntos abiertos'!$C$2:$C$101,A21,'Puntos abiertos'!$J$2:$J$101,"Corregido - por auditar")+COUNTIFS('Puntos abiertos'!$C$2:$C$101,A21,'Puntos abiertos'!$J$2:$J$101,"Reabierto")</f>
        <v/>
      </c>
    </row>
    <row r="22">
      <c r="A22" s="20" t="inlineStr">
        <is>
          <t>Bajo</t>
        </is>
      </c>
      <c r="B22" s="20">
        <f>COUNTIF('Puntos abiertos'!$C$2:$C$101,A22)</f>
        <v/>
      </c>
      <c r="C22" s="20">
        <f>COUNTIFS('Puntos abiertos'!$C$2:$C$101,A22,'Puntos abiertos'!$J$2:$J$101,"Abierto")+COUNTIFS('Puntos abiertos'!$C$2:$C$101,A22,'Puntos abiertos'!$J$2:$J$101,"Requiere decisión")+COUNTIFS('Puntos abiertos'!$C$2:$C$101,A22,'Puntos abiertos'!$J$2:$J$101,"Corregido en oficina - probar en celda")+COUNTIFS('Puntos abiertos'!$C$2:$C$101,A22,'Puntos abiertos'!$J$2:$J$101,"En proceso")+COUNTIFS('Puntos abiertos'!$C$2:$C$101,A22,'Puntos abiertos'!$J$2:$J$101,"Corregido - por auditar")+COUNTIFS('Puntos abiertos'!$C$2:$C$101,A22,'Puntos abiertos'!$J$2:$J$101,"Reabierto")</f>
        <v/>
      </c>
    </row>
    <row r="24">
      <c r="A24" s="19" t="inlineStr">
        <is>
          <t>Origen</t>
        </is>
      </c>
      <c r="B24" s="19" t="inlineStr">
        <is>
          <t>Total</t>
        </is>
      </c>
      <c r="C24" s="19" t="inlineStr">
        <is>
          <t>Pendientes</t>
        </is>
      </c>
    </row>
    <row r="25">
      <c r="A25" s="20" t="inlineStr">
        <is>
          <t>Gestamp</t>
        </is>
      </c>
      <c r="B25" s="20">
        <f>COUNTIF('Puntos abiertos'!$B$2:$B$101,"Gestamp*")</f>
        <v/>
      </c>
      <c r="C25" s="20">
        <f>COUNTIFS('Puntos abiertos'!$B$2:$B$101,"Gestamp*",'Puntos abiertos'!$J$2:$J$101,"Abierto")+COUNTIFS('Puntos abiertos'!$B$2:$B$101,"Gestamp*",'Puntos abiertos'!$J$2:$J$101,"Requiere decisión")+COUNTIFS('Puntos abiertos'!$B$2:$B$101,"Gestamp*",'Puntos abiertos'!$J$2:$J$101,"Corregido en oficina - probar en celda")+COUNTIFS('Puntos abiertos'!$B$2:$B$101,"Gestamp*",'Puntos abiertos'!$J$2:$J$101,"En proceso")+COUNTIFS('Puntos abiertos'!$B$2:$B$101,"Gestamp*",'Puntos abiertos'!$J$2:$J$101,"Corregido - por auditar")+COUNTIFS('Puntos abiertos'!$B$2:$B$101,"Gestamp*",'Puntos abiertos'!$J$2:$J$101,"Reabierto")</f>
        <v/>
      </c>
    </row>
    <row r="26">
      <c r="A26" s="20" t="inlineStr">
        <is>
          <t>Ethos</t>
        </is>
      </c>
      <c r="B26" s="20">
        <f>COUNTIF('Puntos abiertos'!$B$2:$B$101,"Ethos")</f>
        <v/>
      </c>
      <c r="C26" s="20">
        <f>COUNTIFS('Puntos abiertos'!$B$2:$B$101,"Ethos",'Puntos abiertos'!$J$2:$J$101,"Abierto")+COUNTIFS('Puntos abiertos'!$B$2:$B$101,"Ethos",'Puntos abiertos'!$J$2:$J$101,"Requiere decisión")+COUNTIFS('Puntos abiertos'!$B$2:$B$101,"Ethos",'Puntos abiertos'!$J$2:$J$101,"Corregido en oficina - probar en celda")+COUNTIFS('Puntos abiertos'!$B$2:$B$101,"Ethos",'Puntos abiertos'!$J$2:$J$101,"En proceso")+COUNTIFS('Puntos abiertos'!$B$2:$B$101,"Ethos",'Puntos abiertos'!$J$2:$J$101,"Corregido - por auditar")+COUNTIFS('Puntos abiertos'!$B$2:$B$101,"Ethos",'Puntos abiertos'!$J$2:$J$101,"Reabierto")</f>
        <v/>
      </c>
    </row>
    <row r="27">
      <c r="A27" s="20" t="inlineStr">
        <is>
          <t>Calvin (Ethos)</t>
        </is>
      </c>
      <c r="B27" s="20">
        <f>COUNTIF('Puntos abiertos'!$B$2:$B$101,"Calvin*")</f>
        <v/>
      </c>
      <c r="C27" s="20">
        <f>COUNTIFS('Puntos abiertos'!$B$2:$B$101,"Calvin*",'Puntos abiertos'!$J$2:$J$101,"Abierto")+COUNTIFS('Puntos abiertos'!$B$2:$B$101,"Calvin*",'Puntos abiertos'!$J$2:$J$101,"Requiere decisión")+COUNTIFS('Puntos abiertos'!$B$2:$B$101,"Calvin*",'Puntos abiertos'!$J$2:$J$101,"Corregido en oficina - probar en celda")+COUNTIFS('Puntos abiertos'!$B$2:$B$101,"Calvin*",'Puntos abiertos'!$J$2:$J$101,"En proceso")+COUNTIFS('Puntos abiertos'!$B$2:$B$101,"Calvin*",'Puntos abiertos'!$J$2:$J$101,"Corregido - por auditar")+COUNTIFS('Puntos abiertos'!$B$2:$B$101,"Calvin*",'Puntos abiertos'!$J$2:$J$101,"Reabierto")</f>
        <v/>
      </c>
    </row>
    <row r="29">
      <c r="A29" s="18" t="inlineStr">
        <is>
          <t>Pendientes = Abierto, Requiere decisión, Corregido en oficina - probar en celda, En proceso, Corregido - por auditar, Reabierto.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20" customWidth="1" min="1" max="1"/>
  </cols>
  <sheetData>
    <row r="1">
      <c r="A1" s="22" t="inlineStr">
        <is>
          <t>Cómo usar esta lista</t>
        </is>
      </c>
    </row>
    <row r="2">
      <c r="A2" s="23" t="inlineStr">
        <is>
          <t>1. Trabaja los puntos en el programa del robot. Respeta docs/CONVENTIONS.md del repositorio: comentarios en inglés con la señal nombrada ($OUT[n] nombre), sin código comentado, sin reabrir inline forms que tengan líneas escritas a mano.</t>
        </is>
      </c>
    </row>
    <row r="3">
      <c r="A3" s="23" t="inlineStr">
        <is>
          <t>2. En la hoja "Puntos abiertos" llena SOLO las columnas amarillas de los puntos que trabajaste: Estado, Qué cambió el programador, Módulos modificados, Evidencia / prueba en celda, Fecha programador.</t>
        </is>
      </c>
    </row>
    <row r="4">
      <c r="A4" s="23" t="inlineStr">
        <is>
          <t>3. Estado: pon "En proceso" si empezaste y no está listo, o "Corregido - por auditar" si el cambio está hecho y probado (también los "Corregido en oficina" después de probarlos en celda). No pongas Cerrado: lo pone la auditoría.</t>
        </is>
      </c>
    </row>
    <row r="5">
      <c r="A5" s="23" t="inlineStr">
        <is>
          <t>4. La evidencia es lo que pide el criterio de cierre: prueba en celda con fecha y resultado, valor leído en el smartPAD, documento de Gestamp. Sin evidencia el punto se reabre.</t>
        </is>
      </c>
    </row>
    <row r="6">
      <c r="A6" s="23" t="inlineStr">
        <is>
          <t>5. Al final del día saca un respaldo completo del robot (Archive → All), nómbralo 658424_AAAA-MM-DD_HHMM.zip con la hora en que lo sacaste, y envíalo junto con este archivo guardado como R10_Puntos_Abiertos_AAAA-MM-DD_HHMM.xlsx. No borres filas ni cambies las columnas blancas o grises.</t>
        </is>
      </c>
    </row>
    <row r="7">
      <c r="A7" s="23" t="inlineStr"/>
    </row>
    <row r="8">
      <c r="A8" s="22" t="inlineStr">
        <is>
          <t>Ejemplo de una fila llenada (formato esperado)</t>
        </is>
      </c>
    </row>
    <row r="9">
      <c r="A9" s="23" t="inlineStr">
        <is>
          <t>Estado: Corregido - por auditar</t>
        </is>
      </c>
    </row>
    <row r="10">
      <c r="A10" s="23" t="inlineStr">
        <is>
          <t>Qué cambió el programador: style1app1opt1..3: espera supervisada antes del LIN de aproximación (gun open LPT &gt; 120000, $IN[466], $IN[482], NOT $IN[470]) con $TIMER[16] 3 s, mensaje y do004ProcessFault. PRELOAD paso 20 ahora espera $IN[482].</t>
        </is>
      </c>
    </row>
    <row r="11">
      <c r="A11" s="23" t="inlineStr">
        <is>
          <t>Módulos modificados: style1app1opt1.src ... style1app1opt3.src, PRELOAD.src</t>
        </is>
      </c>
    </row>
    <row r="12">
      <c r="A12" s="23" t="inlineStr">
        <is>
          <t>Evidencia / prueba en celda: 2026-10-06, T1 50 %: clamp cerrado a mano, el robot se detuvo antes de P22 con mensaje; con todo abierto el ciclo siguió normal. 3 ciclos en automático OK.</t>
        </is>
      </c>
    </row>
    <row r="13">
      <c r="A13" s="23" t="inlineStr">
        <is>
          <t>Fecha programador: 2026-10-06</t>
        </is>
      </c>
    </row>
    <row r="14">
      <c r="A14" s="23" t="inlineStr"/>
    </row>
    <row r="15">
      <c r="A15" s="22" t="inlineStr">
        <is>
          <t>Puntos de Gestamp</t>
        </is>
      </c>
    </row>
    <row r="16">
      <c r="A16" s="23" t="inlineStr">
        <is>
          <t>Los puntos G01 a G22 vienen de la revisión de Gestamp del 2026-10-02 (BMW-03-10R1): columna Origen "Gestamp #n", fondo azul y el texto original de Gestamp en la columna Punto. Los Fnn/Cnn son de la revisión de Ethos y conservan la numeración del R20 (F37 no aplica en el R10; F44 a F49 son solo del R10; F48 y F49 salieron de la auditoría del 2026-10-05). La lista de Calvin se verificó punto por punto: los puntos que él también señaló dicen "Calvin #n" en Origen. Esta lista es la única que se usa.</t>
        </is>
      </c>
    </row>
    <row r="17">
      <c r="A17" s="23" t="inlineStr">
        <is>
          <t>"Corregido en oficina - probar en celda": Ethos ya cambió el programa en la versión que se entrega. Carga esa versión, haz la prueba que pide el criterio de cierre y pon "Corregido - por auditar" con la evidencia; si la prueba falla, pon "En proceso" y explica qué pasó.</t>
        </is>
      </c>
    </row>
    <row r="18">
      <c r="A18" s="23" t="inlineStr">
        <is>
          <t>Fila en verde: punto cerrado (Cerrado - auditado, Cerrado - depuración, Aceptado sin cambio, No aplica, Sin acción - documentado), aunque sea crítico. No hay nada que hacer en esas filas.</t>
        </is>
      </c>
    </row>
    <row r="19">
      <c r="A19" s="23" t="inlineStr"/>
    </row>
    <row r="20">
      <c r="A20" s="22" t="inlineStr">
        <is>
          <t>Estados</t>
        </is>
      </c>
    </row>
    <row r="21">
      <c r="A21" s="20" t="inlineStr">
        <is>
          <t>Abierto: Pendiente de trabajar.</t>
        </is>
      </c>
    </row>
    <row r="22">
      <c r="A22" s="20" t="inlineStr">
        <is>
          <t>Requiere decisión: Falta información o decisión (Gestamp, seguridad, Ethos) antes de programar.</t>
        </is>
      </c>
    </row>
    <row r="23">
      <c r="A23" s="20" t="inlineStr">
        <is>
          <t>Corregido en oficina - probar en celda: Ethos lo cambió en la versión entregada; falta la prueba en celda del programador.</t>
        </is>
      </c>
    </row>
    <row r="24">
      <c r="A24" s="20" t="inlineStr">
        <is>
          <t>En proceso: Lo pone el programador: trabajo empezado.</t>
        </is>
      </c>
    </row>
    <row r="25">
      <c r="A25" s="20" t="inlineStr">
        <is>
          <t>Corregido - por auditar: Lo pone el programador: cambio hecho y probado, pide auditoría.</t>
        </is>
      </c>
    </row>
    <row r="26">
      <c r="A26" s="20" t="inlineStr">
        <is>
          <t>Cerrado - auditado: Lo pone la auditoría: cumple el criterio de cierre en el respaldo.</t>
        </is>
      </c>
    </row>
    <row r="27">
      <c r="A27" s="20" t="inlineStr">
        <is>
          <t>Reabierto: Lo pone la auditoría: no se encontró el cambio o no cumple (ver Nota auditoría).</t>
        </is>
      </c>
    </row>
    <row r="28">
      <c r="A28" s="20" t="inlineStr">
        <is>
          <t>Aceptado sin cambio: Ethos / Gestamp decidieron no corregir; queda la razón.</t>
        </is>
      </c>
    </row>
    <row r="29">
      <c r="A29" s="20" t="inlineStr">
        <is>
          <t>Cerrado - depuración: Resuelto por la depuración del 2026-10-04.</t>
        </is>
      </c>
    </row>
    <row r="30">
      <c r="A30" s="20" t="inlineStr">
        <is>
          <t>No aplica: El punto ya cumple.</t>
        </is>
      </c>
    </row>
    <row r="31">
      <c r="A31" s="20" t="inlineStr">
        <is>
          <t>Sin acción - documentado: Se deja como está; la nota dice cuándo se reabriría.</t>
        </is>
      </c>
    </row>
    <row r="32">
      <c r="A32" s="20" t="inlineStr">
        <is>
          <t>Se cierra con otro punto: Duplica otro punto (columna Depende de); se cierra con él.</t>
        </is>
      </c>
    </row>
    <row r="34">
      <c r="A34" s="24" t="inlineStr">
        <is>
          <t>Colores: amarillo = lo llena el programador; gris = lo llena la auditoría; blanco = no se edita.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14" customWidth="1" min="1" max="1"/>
    <col width="30" customWidth="1" min="2" max="2"/>
    <col width="10" customWidth="1" min="3" max="3"/>
    <col width="10" customWidth="1" min="4" max="4"/>
    <col width="16" customWidth="1" min="5" max="5"/>
    <col width="80" customWidth="1" min="6" max="6"/>
  </cols>
  <sheetData>
    <row r="1">
      <c r="A1" s="25" t="inlineStr">
        <is>
          <t>Fecha auditoría</t>
        </is>
      </c>
      <c r="B1" s="25" t="inlineStr">
        <is>
          <t>Respaldo</t>
        </is>
      </c>
      <c r="C1" s="25" t="inlineStr">
        <is>
          <t>Cerrados</t>
        </is>
      </c>
      <c r="D1" s="25" t="inlineStr">
        <is>
          <t>Reabiertos</t>
        </is>
      </c>
      <c r="E1" s="25" t="inlineStr">
        <is>
          <t>Cambios de código</t>
        </is>
      </c>
      <c r="F1" s="25" t="inlineStr">
        <is>
          <t>Notas</t>
        </is>
      </c>
    </row>
    <row r="2">
      <c r="A2" s="20" t="inlineStr">
        <is>
          <t>2026-10-04</t>
        </is>
      </c>
      <c r="B2" s="20" t="inlineStr">
        <is>
          <t>658424_R10 (versión de oficina, tools/build_archive.py)</t>
        </is>
      </c>
      <c r="C2" s="20" t="n">
        <v>0</v>
      </c>
      <c r="D2" s="20" t="n">
        <v>0</v>
      </c>
      <c r="E2" s="20" t="inlineStr">
        <is>
          <t>12 módulos con cambios de lógica, 8 equivalentes tras renombres, 1 borrado (centerline_loop.src), 2 movidos (Styles/optiones → Styles/Options), 104 idénticos (tools/check_equivalence.py contra la base fb8a4c8)</t>
        </is>
      </c>
      <c r="F2" s="20" t="inlineStr">
        <is>
          <t>Alta de los 22 puntos de Gestamp, F01-F47 y C01-C28. Corregidos en oficina, por probar en celda: G11-G17 y G20 (y F24, F28, F30, F32, F36), más G04 (borrado en la depuración, falta borrarlo en el controlador); cerrados por la depuración: F45, C03, C24, C26; con avance de oficina y todavía abiertos: G05, G10, F03, F07, F16, F17, F29, F31. Base: commit de depuración fb8a4c8; cambios listados en tools/code_changes.json. La lista de Calvin (Gstamp_Robot_Open_Issues_2026-10-03) se verificó punto por punto: cada fila de 10R1 o All tiene su punto (referencias en origen_ref).</t>
        </is>
      </c>
    </row>
    <row r="3">
      <c r="A3" s="20" t="inlineStr">
        <is>
          <t>2026-10-05</t>
        </is>
      </c>
      <c r="B3" s="20" t="inlineStr">
        <is>
          <t>bmw_03_10_r1.zip (am.ini 2026-10-05 09:43, robot BMW_03_10_R1, serie 658424)</t>
        </is>
      </c>
      <c r="C3" s="20" t="n">
        <v>0</v>
      </c>
      <c r="D3" s="20" t="n">
        <v>0</v>
      </c>
      <c r="E3" s="20" t="inlineStr">
        <is>
          <t>62 archivos cambiados, 7 agregados (GUN_OPEN_CHECK, proyecto WorkVisual BMW-03-10R1_v8), 39 KRL con cambios de código (-230/+1323 líneas) contra el estado auditado (b5a8803)</t>
        </is>
      </c>
      <c r="F3" s="20" t="inlineStr">
        <is>
          <t>La versión de oficina NO se cargó: 29 archivos son el original byte por byte, 16 se editaron encima del original y siguen en el controlador los 22 archivos borrados por la depuración. El programador trabajó sobre el original: quitó los GOTO (G11), reinició los timers del gun (F07), agregó GUN_OPEN_CHECK e interrupts de vigilancia del gun (F01 parcial), flujo de agua real (F09), evaluación por option en sensor y cámara (F02, F19 parcial), cambió el nombre del robot (G01) y activó AutomationCore_BKG editando el proveedor (F12, nuevo F49). Nuevo F48: interlock de drop-off movido después de la aproximación. Sin Excel del programador: ningún punto se marcó como corregido. Siguiente paso: integrar sus cambios en la versión depurada y cargar esa. Reporte en audits/2026-10-05_09-43-37.</t>
        </is>
      </c>
    </row>
    <row r="4">
      <c r="A4" s="20" t="inlineStr">
        <is>
          <t>2026-10-05</t>
        </is>
      </c>
      <c r="B4" s="20" t="inlineStr">
        <is>
          <t>658424_R10_2026-10-05_0819.zip (versión integrada, armada sobre bmw_03_10_r1.zip)</t>
        </is>
      </c>
      <c r="C4" s="20" t="n">
        <v>0</v>
      </c>
      <c r="D4" s="20" t="n">
        <v>0</v>
      </c>
      <c r="E4" s="20" t="inlineStr">
        <is>
          <t>Contra la depuración fb8a4c8: 26 KRL con cambios de código, 2 módulos nuevos (GUN_OPEN_CHECK.src/.dat), 22 archivos fuera; contra el repositorio: idéntico (308 entradas). audit_backup: 0 FAIL, 0 WARN.</t>
        </is>
      </c>
      <c r="F4" s="20" t="inlineStr">
        <is>
          <t>Integración de los cambios del programador del 2026-10-05 en la versión depurada: GUN_OPEN_CHECK e interrupts del gun (F01 parcial), agua real (F09 parcial), evaluación por option en sensor y cámara (F02 parcial, F19 parcial), AutomationCore_BKG activo con ediciones del proveedor (F12/F49 pendientes de decisión), nombre BMW_03_10_R1 y mapeo TBEN conservados. F48: el zip regresa el interlock de drop-off antes del primer movimiento y conserva el AtDrop3 del programador (la pieza cae mejor en el conveyor; validado por Edgar con el programador). Ningún punto se cierra: todos piden prueba en celda con evidencia y respaldo. Reporte en audits/2026-10-05_integracion. El zip 658424_R10_2026-10-05_0809 (con AtDrop3 original) queda reemplazado por el 0819; no cargar el 0809.</t>
        </is>
      </c>
    </row>
    <row r="5">
      <c r="A5" s="20" t="inlineStr">
        <is>
          <t>2026-10-05</t>
        </is>
      </c>
      <c r="B5" s="20" t="inlineStr">
        <is>
          <t>bmw_03_10_r1.zip (am.ini 2026-10-05 14:46)</t>
        </is>
      </c>
      <c r="C5" s="20" t="n">
        <v>0</v>
      </c>
      <c r="D5" s="20" t="n">
        <v>0</v>
      </c>
      <c r="E5" s="20" t="inlineStr">
        <is>
          <t>Contra el estado auditado: 19 archivos originales, 17 editados encima del original, 22 borrados aún en el controlador; contra el respaldo de las 09:43: apps de soldadura partidas en A (estación 1, igual) y B (estación 2, puntos de soldadura retocados 1-5 mm), punto de cámara P3 re-enseñado (83 mm, ~16°), AC_ApplicationCheck(1) después de P22, PTP P1 quitado del drop.</t>
        </is>
      </c>
      <c r="F5" s="20" t="inlineStr">
        <is>
          <t>La versión integrada (zip 0819) no se cargó. Revisión independiente (2 agentes) de GUN_OPEN_CHECK/interrupts y del background de AutomationCore: integración fiel; huecos de vigilancia del gun (F01); con el background activo el Request to Enter deja de detener el robot si $OUT[930] quedó en ON (F35 sube a Alto), el background pisa las habilitaciones del Bosch, el cambio de electrodo corre sin probar (F43, F49). Nuevo F50. Sin Excel del programador. Reporte en audits/2026-10-05_14-46-44.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2026-10-05T19:05:58Z</dcterms:created>
  <dcterms:modified xsi:type="dcterms:W3CDTF">2026-10-05T19:05:58Z</dcterms:modified>
</cp:coreProperties>
</file>