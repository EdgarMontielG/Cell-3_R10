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6">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8" fillId="6" borderId="1" applyAlignment="1" pivotButton="0" quotePrefix="0" xfId="0">
      <alignment vertical="top" wrapText="1"/>
    </xf>
    <xf numFmtId="0" fontId="6" fillId="6"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3"/>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Integrado</t>
        </is>
      </c>
      <c r="P2" s="7" t="inlineStr">
        <is>
          <t>2026-10-05</t>
        </is>
      </c>
      <c r="Q2" s="7" t="inlineStr">
        <is>
          <t>El nombre BMW_03_10_R1 se conserva en la versión integrada. Falta el formato confirmado por Gestamp.</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Alta (Gestamp)</t>
        </is>
      </c>
      <c r="P3" s="7" t="inlineStr">
        <is>
          <t>2026-10-04</t>
        </is>
      </c>
      <c r="Q3" s="7" t="inlineStr">
        <is>
          <t>Punto 2 de la revisión de Gestamp del 2026-10-02 (BMW-03-10R1).</t>
        </is>
      </c>
    </row>
    <row r="4">
      <c r="A4" s="2" t="inlineStr">
        <is>
          <t>G03</t>
        </is>
      </c>
      <c r="B4" s="3" t="inlineStr">
        <is>
          <t>Gestamp #3</t>
        </is>
      </c>
      <c r="C4" s="8" t="inlineStr">
        <is>
          <t>Alto</t>
        </is>
      </c>
      <c r="D4" s="3" t="inlineStr">
        <is>
          <t>Determinar los datos de carga (herramienta 1 con y sin pieza)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Existe la carga con pieza (si difiere 5 % o más) y los movimientos entre el cierre del gripper en el pick y su apertura en drop, drop red rabbit o reject la usan (C08).
• Protocolo de Load Data Determination (captura o archivo) con fecha.</t>
        </is>
      </c>
      <c r="I4" s="5" t="inlineStr">
        <is>
          <t>C08, F39, C09</t>
        </is>
      </c>
      <c r="J4" s="6" t="inlineStr">
        <is>
          <t>Abierto</t>
        </is>
      </c>
      <c r="K4" s="6" t="inlineStr"/>
      <c r="L4" s="6" t="inlineStr"/>
      <c r="M4" s="6" t="inlineStr"/>
      <c r="N4" s="6" t="inlineStr"/>
      <c r="O4" s="7" t="inlineStr">
        <is>
          <t>Alta (Gestamp)</t>
        </is>
      </c>
      <c r="P4" s="7" t="inlineStr">
        <is>
          <t>2026-10-04</t>
        </is>
      </c>
      <c r="Q4" s="7" t="inlineStr">
        <is>
          <t>Punto 3 de la revisión de Gestamp del 2026-10-02 (BMW-03-10R1).</t>
        </is>
      </c>
    </row>
    <row r="5">
      <c r="A5" s="2" t="inlineStr">
        <is>
          <t>G04</t>
        </is>
      </c>
      <c r="B5" s="3" t="inlineStr">
        <is>
          <t>Gestamp #4</t>
        </is>
      </c>
      <c r="C5" s="9" t="inlineStr">
        <is>
          <t>Bajo</t>
        </is>
      </c>
      <c r="D5" s="3" t="inlineStr">
        <is>
          <t>Programa RedRabbit bloqueado: borrado
Gestamp: "Program Red Rabbit() is blocked, might be an unnecessary copy"</t>
        </is>
      </c>
      <c r="E5" s="5" t="inlineStr">
        <is>
          <t>Código</t>
        </is>
      </c>
      <c r="F5" s="5" t="inlineStr">
        <is>
          <t>Programador robot (prueba en celda)</t>
        </is>
      </c>
      <c r="G5" s="5" t="inlineStr">
        <is>
          <t>KRC/R1/Program/Utilities/redrabbit.src, KRC/R1/Program/Utilities/RedRabbit.dat</t>
        </is>
      </c>
      <c r="H5" s="5" t="inlineStr">
        <is>
          <t>• En el respaldo no están KRC/R1/Program/Utilities/redrabbit.src ni RedRabbit.dat (borrados también en el controlador).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red rabbit (option 12) corre igual que antes de la carga (sus defectos siguen en F19). Anotar fecha.</t>
        </is>
      </c>
      <c r="I5" s="5" t="inlineStr">
        <is>
          <t>F19</t>
        </is>
      </c>
      <c r="J5" s="6" t="inlineStr">
        <is>
          <t>Corregido en oficina - probar en celda</t>
        </is>
      </c>
      <c r="K5" s="6" t="inlineStr"/>
      <c r="L5" s="6" t="inlineStr"/>
      <c r="M5" s="6" t="inlineStr"/>
      <c r="N5" s="6" t="inlineStr"/>
      <c r="O5" s="7" t="inlineStr">
        <is>
          <t>Integrado - por probar</t>
        </is>
      </c>
      <c r="P5" s="7" t="inlineStr">
        <is>
          <t>2026-10-05</t>
        </is>
      </c>
      <c r="Q5" s="7" t="inlineStr">
        <is>
          <t>Sigue en la versión integrada (658424_R10_2026-10-05_0819.zip, armada sobre el respaldo del programador). Cargarla y hacer la prueba de este punto.</t>
        </is>
      </c>
    </row>
    <row r="6">
      <c r="A6" s="2" t="inlineStr">
        <is>
          <t>G05</t>
        </is>
      </c>
      <c r="B6" s="3" t="inlineStr">
        <is>
          <t>Gestamp #5</t>
        </is>
      </c>
      <c r="C6" s="9"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En el respaldo no están los 11 módulos borrados por la depuración ni KRC/R1/Program/Centerline/centerline_loop.src (borrados también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6" s="5" t="inlineStr">
        <is>
          <t>G04, C28</t>
        </is>
      </c>
      <c r="J6" s="6" t="inlineStr">
        <is>
          <t>Requiere decisión</t>
        </is>
      </c>
      <c r="K6" s="6" t="inlineStr"/>
      <c r="L6" s="6" t="inlineStr"/>
      <c r="M6" s="6" t="inlineStr"/>
      <c r="N6" s="6" t="inlineStr"/>
      <c r="O6" s="7" t="inlineStr">
        <is>
          <t>Auditoría - pendiente</t>
        </is>
      </c>
      <c r="P6" s="7" t="inlineStr">
        <is>
          <t>2026-10-05</t>
        </is>
      </c>
      <c r="Q6" s="7" t="inlineStr">
        <is>
          <t>Los 22 archivos borrados en la depuración siguen en el controlador; dos copias AutoRR fueron editadas (sin uso).</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Alta (Gestamp)</t>
        </is>
      </c>
      <c r="P7" s="7" t="inlineStr">
        <is>
          <t>2026-10-04</t>
        </is>
      </c>
      <c r="Q7" s="7" t="inlineStr">
        <is>
          <t>Punto 6 de la revisión de Gestamp del 2026-10-02 (BMW-03-10R1).</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Alta (Gestamp)</t>
        </is>
      </c>
      <c r="P8" s="7" t="inlineStr">
        <is>
          <t>2026-10-04</t>
        </is>
      </c>
      <c r="Q8" s="7" t="inlineStr">
        <is>
          <t>Punto 7 de la revisión de Gestamp del 2026-10-02 (BMW-03-10R1).</t>
        </is>
      </c>
    </row>
    <row r="9">
      <c r="A9" s="2" t="inlineStr">
        <is>
          <t>G08</t>
        </is>
      </c>
      <c r="B9" s="3" t="inlineStr">
        <is>
          <t>Gestamp #8</t>
        </is>
      </c>
      <c r="C9" s="8" t="inlineStr">
        <is>
          <t>Alto</t>
        </is>
      </c>
      <c r="D9" s="3" t="inlineStr">
        <is>
          <t>El ciclo red rabbit no sigue el camino de producción
Gestamp: "Separate Auto-Red Rabbit program that doesn't match production"</t>
        </is>
      </c>
      <c r="E9" s="5" t="inlineStr">
        <is>
          <t>Decisión + código</t>
        </is>
      </c>
      <c r="F9" s="5" t="inlineStr">
        <is>
          <t>Gestamp controles / Programador robot</t>
        </is>
      </c>
      <c r="G9" s="5" t="inlineStr">
        <is>
          <t>KRC/R1/Program/Styles/Options/Style1Opt10AutoRR.src, KRC/R1/Program/StylePicks/Options/style1pick1opt1AutoRR.src, KRC/R1/Program/StyleDrops/Options/style1drop1opt2AutoRR.src</t>
        </is>
      </c>
      <c r="H9" s="5" t="inlineStr">
        <is>
          <t>• Procedimiento red rabbit de Gestamp por escrito.
• Se cumplen los criterios de F19.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9" s="5" t="inlineStr">
        <is>
          <t>F19, G21</t>
        </is>
      </c>
      <c r="J9" s="6" t="inlineStr">
        <is>
          <t>Requiere decisión</t>
        </is>
      </c>
      <c r="K9" s="6" t="inlineStr"/>
      <c r="L9" s="6" t="inlineStr"/>
      <c r="M9" s="6" t="inlineStr"/>
      <c r="N9" s="6" t="inlineStr"/>
      <c r="O9" s="7" t="inlineStr">
        <is>
          <t>Alta (Gestamp)</t>
        </is>
      </c>
      <c r="P9" s="7" t="inlineStr">
        <is>
          <t>2026-10-04</t>
        </is>
      </c>
      <c r="Q9" s="7" t="inlineStr">
        <is>
          <t>Punto 8 de la revisión de Gestamp del 2026-10-02 (BMW-03-10R1).</t>
        </is>
      </c>
    </row>
    <row r="10">
      <c r="A10" s="2" t="inlineStr">
        <is>
          <t>G09</t>
        </is>
      </c>
      <c r="B10" s="3" t="inlineStr">
        <is>
          <t>Gestamp #9</t>
        </is>
      </c>
      <c r="C10" s="4" t="inlineStr">
        <is>
          <t>Medio</t>
        </is>
      </c>
      <c r="D10" s="3" t="inlineStr">
        <is>
          <t>Pieza en gripper al PLC fijada por programa, no por los sensores
Gestamp: "Part control to PLC is set/reset instead of reflecting the real part controls"</t>
        </is>
      </c>
      <c r="E10" s="5" t="inlineStr">
        <is>
          <t>Decisión + código</t>
        </is>
      </c>
      <c r="F10" s="5" t="inlineStr">
        <is>
          <t>Programador robot / Gestamp controles</t>
        </is>
      </c>
      <c r="G10"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5" t="inlineStr">
        <is>
          <t>• $OUT[18] se escribe en un solo lugar, a partir de di253/di254; los inline forms OUT 18 de picks, drops y RejectGE4 ya no están.
• Prueba: quitar la pieza a mano del gripper en T1 → $OUT[18] OFF de inmediato; con la pieza tomada → ON.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10" s="5" t="inlineStr">
        <is>
          <t>F12, C01, C16</t>
        </is>
      </c>
      <c r="J10" s="6" t="inlineStr">
        <is>
          <t>Requiere decisión</t>
        </is>
      </c>
      <c r="K10" s="6" t="inlineStr"/>
      <c r="L10" s="6" t="inlineStr"/>
      <c r="M10" s="6" t="inlineStr"/>
      <c r="N10" s="6" t="inlineStr"/>
      <c r="O10" s="7" t="inlineStr">
        <is>
          <t>Alta (Gestamp)</t>
        </is>
      </c>
      <c r="P10" s="7" t="inlineStr">
        <is>
          <t>2026-10-04</t>
        </is>
      </c>
      <c r="Q10" s="7" t="inlineStr">
        <is>
          <t>Punto 9 de la revisión de Gestamp del 2026-10-02 (BMW-03-10R1).</t>
        </is>
      </c>
    </row>
    <row r="11">
      <c r="A11" s="2" t="inlineStr">
        <is>
          <t>G10</t>
        </is>
      </c>
      <c r="B11" s="3" t="inlineStr">
        <is>
          <t>Gestamp #10</t>
        </is>
      </c>
      <c r="C11" s="4" t="inlineStr">
        <is>
          <t>Medio</t>
        </is>
      </c>
      <c r="D11" s="3" t="inlineStr">
        <is>
          <t>Comandos de gripper GripperTech en todos los movimientos de gripper
Gestamp: "Gripper commands not used at all times"</t>
        </is>
      </c>
      <c r="E11" s="5" t="inlineStr">
        <is>
          <t>Código + prueba en celda</t>
        </is>
      </c>
      <c r="F11" s="5" t="inlineStr">
        <is>
          <t>Programador robot / Puesta en marcha</t>
        </is>
      </c>
      <c r="G11"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5" t="inlineStr">
        <is>
          <t>• Se cumplen los criterios de F31 y F33.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5" t="inlineStr">
        <is>
          <t>F31, F33, C22, F40</t>
        </is>
      </c>
      <c r="J11" s="6" t="inlineStr">
        <is>
          <t>Abierto</t>
        </is>
      </c>
      <c r="K11" s="6" t="inlineStr"/>
      <c r="L11" s="6" t="inlineStr"/>
      <c r="M11" s="6" t="inlineStr"/>
      <c r="N11" s="6" t="inlineStr"/>
      <c r="O11" s="7" t="inlineStr">
        <is>
          <t>Alta (Gestamp)</t>
        </is>
      </c>
      <c r="P11" s="7" t="inlineStr">
        <is>
          <t>2026-10-04</t>
        </is>
      </c>
      <c r="Q11" s="7" t="inlineStr">
        <is>
          <t>Punto 10 de la revisión de Gestamp del 2026-10-02 (BMW-03-10R1).</t>
        </is>
      </c>
    </row>
    <row r="12">
      <c r="A12" s="2" t="inlineStr">
        <is>
          <t>G11</t>
        </is>
      </c>
      <c r="B12" s="3" t="inlineStr">
        <is>
          <t>Gestamp #11</t>
        </is>
      </c>
      <c r="C12" s="4" t="inlineStr">
        <is>
          <t>Medio</t>
        </is>
      </c>
      <c r="D12" s="3" t="inlineStr">
        <is>
          <t>Sin GOTO ni etiquetas
Gestamp: "Use of Goto labels"</t>
        </is>
      </c>
      <c r="E12" s="5" t="inlineStr">
        <is>
          <t>Código + prueba en celda</t>
        </is>
      </c>
      <c r="F12" s="5" t="inlineStr">
        <is>
          <t>Programador robot (prueba en celda)</t>
        </is>
      </c>
      <c r="G12" s="5"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5" t="inlineStr">
        <is>
          <t>• En el respaldo ningún módulo del integrador (KRC/R1/Program, KRC/R1/cell.src, sps.sub) tiene GOTO ni etiquetas.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5" t="inlineStr">
        <is>
          <t>F30, F07</t>
        </is>
      </c>
      <c r="J12" s="6" t="inlineStr">
        <is>
          <t>Corregido en oficina - probar en celda</t>
        </is>
      </c>
      <c r="K12" s="6" t="inlineStr"/>
      <c r="L12" s="6" t="inlineStr"/>
      <c r="M12" s="6" t="inlineStr"/>
      <c r="N12" s="6" t="inlineStr"/>
      <c r="O12" s="7" t="inlineStr">
        <is>
          <t>Integrado - por probar</t>
        </is>
      </c>
      <c r="P12" s="7" t="inlineStr">
        <is>
          <t>2026-10-05</t>
        </is>
      </c>
      <c r="Q12" s="7" t="inlineStr">
        <is>
          <t>Sigue en la versión integrada (658424_R10_2026-10-05_0819.zip, armada sobre el respaldo del programador). Cargarla y hacer la prueba de este punto.</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3" s="5" t="inlineStr">
        <is>
          <t>F17, C23, F29</t>
        </is>
      </c>
      <c r="J13" s="6" t="inlineStr">
        <is>
          <t>Corregido en oficina - probar en celda</t>
        </is>
      </c>
      <c r="K13" s="6" t="inlineStr"/>
      <c r="L13" s="6" t="inlineStr"/>
      <c r="M13" s="6" t="inlineStr"/>
      <c r="N13" s="6" t="inlineStr"/>
      <c r="O13" s="7" t="inlineStr">
        <is>
          <t>Integrado - por probar</t>
        </is>
      </c>
      <c r="P13" s="7" t="inlineStr">
        <is>
          <t>2026-10-05</t>
        </is>
      </c>
      <c r="Q13" s="7" t="inlineStr">
        <is>
          <t>Sigue en la versión integrada (658424_R10_2026-10-05_0819.zip, armada sobre el respaldo del programador). Cargarla y hacer la prueba de este punto.</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Corregido en oficina - probar en celda</t>
        </is>
      </c>
      <c r="K14" s="6" t="inlineStr"/>
      <c r="L14" s="6" t="inlineStr"/>
      <c r="M14" s="6" t="inlineStr"/>
      <c r="N14" s="6" t="inlineStr"/>
      <c r="O14" s="7" t="inlineStr">
        <is>
          <t>Integrado - por probar</t>
        </is>
      </c>
      <c r="P14" s="7" t="inlineStr">
        <is>
          <t>2026-10-05</t>
        </is>
      </c>
      <c r="Q14" s="7" t="inlineStr">
        <is>
          <t>Sigue en la versión integrada (658424_R10_2026-10-05_0819.zip, armada sobre el respaldo del programador). Cargarla y hacer la prueba de este punto.</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con una pieza en el gripper al iniciar el pick, el robot se queda en la espera sin mover el gripper. Anotar fecha.</t>
        </is>
      </c>
      <c r="I15" s="5" t="inlineStr"/>
      <c r="J15" s="6" t="inlineStr">
        <is>
          <t>Corregido en oficina - probar en celda</t>
        </is>
      </c>
      <c r="K15" s="6" t="inlineStr"/>
      <c r="L15" s="6" t="inlineStr"/>
      <c r="M15" s="6" t="inlineStr"/>
      <c r="N15" s="6" t="inlineStr"/>
      <c r="O15" s="7" t="inlineStr">
        <is>
          <t>Integrado - por probar</t>
        </is>
      </c>
      <c r="P15" s="7" t="inlineStr">
        <is>
          <t>2026-10-05</t>
        </is>
      </c>
      <c r="Q15" s="7" t="inlineStr">
        <is>
          <t>Sigue en la versión integrada (658424_R10_2026-10-05_0819.zip, armada sobre el respaldo del programador). Cargarla y hacer la prueba de este punto.</t>
        </is>
      </c>
    </row>
    <row r="16">
      <c r="A16" s="2" t="inlineStr">
        <is>
          <t>G15</t>
        </is>
      </c>
      <c r="B16" s="3" t="inlineStr">
        <is>
          <t>Gestamp #15</t>
        </is>
      </c>
      <c r="C16" s="9"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6" s="5" t="inlineStr">
        <is>
          <t>C26, F36</t>
        </is>
      </c>
      <c r="J16" s="6" t="inlineStr">
        <is>
          <t>Corregido en oficina - probar en celda</t>
        </is>
      </c>
      <c r="K16" s="6" t="inlineStr"/>
      <c r="L16" s="6" t="inlineStr"/>
      <c r="M16" s="6" t="inlineStr"/>
      <c r="N16" s="6" t="inlineStr"/>
      <c r="O16" s="7" t="inlineStr">
        <is>
          <t>Integrado - por probar</t>
        </is>
      </c>
      <c r="P16" s="7" t="inlineStr">
        <is>
          <t>2026-10-05</t>
        </is>
      </c>
      <c r="Q16" s="7" t="inlineStr">
        <is>
          <t>Sigue en la versión integrada (658424_R10_2026-10-05_0819.zip, armada sobre el respaldo del programador). Cargarla y hacer la prueba de este punto.</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de soldadura completo en automático; valores leídos en el display de variables iguales a los del fold CENTERLINE CONTROL. Anotar fecha.</t>
        </is>
      </c>
      <c r="I17" s="5" t="inlineStr">
        <is>
          <t>F16, F44, F41</t>
        </is>
      </c>
      <c r="J17" s="6" t="inlineStr">
        <is>
          <t>Corregido en oficina - probar en celda</t>
        </is>
      </c>
      <c r="K17" s="6" t="inlineStr"/>
      <c r="L17" s="6" t="inlineStr"/>
      <c r="M17" s="6" t="inlineStr"/>
      <c r="N17" s="6" t="inlineStr"/>
      <c r="O17" s="7" t="inlineStr">
        <is>
          <t>Integrado - por probar</t>
        </is>
      </c>
      <c r="P17" s="7" t="inlineStr">
        <is>
          <t>2026-10-05</t>
        </is>
      </c>
      <c r="Q17" s="7" t="inlineStr">
        <is>
          <t>Sigue en la versión integrada (658424_R10_2026-10-05_0819.zip, armada sobre el respaldo del programador). Cargarla y hacer la prueba de este punto.</t>
        </is>
      </c>
    </row>
    <row r="18">
      <c r="A18" s="2" t="inlineStr">
        <is>
          <t>G17</t>
        </is>
      </c>
      <c r="B18" s="3" t="inlineStr">
        <is>
          <t>Gestamp #17</t>
        </is>
      </c>
      <c r="C18" s="9"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18" s="5" t="inlineStr">
        <is>
          <t>F24</t>
        </is>
      </c>
      <c r="J18" s="6" t="inlineStr">
        <is>
          <t>Corregido en oficina - probar en celda</t>
        </is>
      </c>
      <c r="K18" s="6" t="inlineStr"/>
      <c r="L18" s="6" t="inlineStr"/>
      <c r="M18" s="6" t="inlineStr"/>
      <c r="N18" s="6" t="inlineStr"/>
      <c r="O18" s="7" t="inlineStr">
        <is>
          <t>Integrado - por probar</t>
        </is>
      </c>
      <c r="P18" s="7" t="inlineStr">
        <is>
          <t>2026-10-05</t>
        </is>
      </c>
      <c r="Q18" s="7" t="inlineStr">
        <is>
          <t>Sigue en la versión integrada (658424_R10_2026-10-05_0819.zip, armada sobre el respaldo del programador). Cargarla y hacer la prueba de este punto.</t>
        </is>
      </c>
    </row>
    <row r="19">
      <c r="A19" s="2" t="inlineStr">
        <is>
          <t>G18</t>
        </is>
      </c>
      <c r="B19" s="3" t="inlineStr">
        <is>
          <t>Gestamp #18</t>
        </is>
      </c>
      <c r="C19" s="8" t="inlineStr">
        <is>
          <t>Alto</t>
        </is>
      </c>
      <c r="D19" s="3" t="inlineStr">
        <is>
          <t>Sin chequeo de soldadura buena
Gestamp: "NO check for Weld OK, just weld finished"</t>
        </is>
      </c>
      <c r="E19" s="5" t="inlineStr">
        <is>
          <t>Código + prueba en celda</t>
        </is>
      </c>
      <c r="F19" s="5" t="inlineStr">
        <is>
          <t>Programador robot / Puesta en marcha</t>
        </is>
      </c>
      <c r="G19" s="5" t="inlineStr">
        <is>
          <t>KRC/R1/Program/Centerline/centerline_weld.src, KRC/R1/Program/Styles/Options/style1opt1.src</t>
        </is>
      </c>
      <c r="H19" s="5" t="inlineStr">
        <is>
          <t>• Se cumplen los criterios de F08.</t>
        </is>
      </c>
      <c r="I19" s="5" t="inlineStr">
        <is>
          <t>F08</t>
        </is>
      </c>
      <c r="J19" s="6" t="inlineStr">
        <is>
          <t>Requiere decisión</t>
        </is>
      </c>
      <c r="K19" s="6" t="inlineStr"/>
      <c r="L19" s="6" t="inlineStr"/>
      <c r="M19" s="6" t="inlineStr"/>
      <c r="N19" s="6" t="inlineStr"/>
      <c r="O19" s="7" t="inlineStr">
        <is>
          <t>Alta (Gestamp)</t>
        </is>
      </c>
      <c r="P19" s="7" t="inlineStr">
        <is>
          <t>2026-10-04</t>
        </is>
      </c>
      <c r="Q19" s="7" t="inlineStr">
        <is>
          <t>Punto 18 de la revisión de Gestamp del 2026-10-02 (BMW-03-10R1).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Corregido en oficina - probar en celda</t>
        </is>
      </c>
      <c r="K21" s="6" t="inlineStr"/>
      <c r="L21" s="6" t="inlineStr"/>
      <c r="M21" s="6" t="inlineStr"/>
      <c r="N21" s="6" t="inlineStr"/>
      <c r="O21" s="7" t="inlineStr">
        <is>
          <t>Integrado - por probar</t>
        </is>
      </c>
      <c r="P21" s="7" t="inlineStr">
        <is>
          <t>2026-10-05</t>
        </is>
      </c>
      <c r="Q21" s="7" t="inlineStr">
        <is>
          <t>Sigue en la versión integrada (658424_R10_2026-10-05_0819.zip, armada sobre el respaldo del programador). Cargarla y hacer la prueba de este punto.</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Se cumplen los criterios de F19 para el nut check y la cámara.</t>
        </is>
      </c>
      <c r="I22" s="5" t="inlineStr">
        <is>
          <t>F19, G08</t>
        </is>
      </c>
      <c r="J22" s="6" t="inlineStr">
        <is>
          <t>Requiere decisión</t>
        </is>
      </c>
      <c r="K22" s="6" t="inlineStr"/>
      <c r="L22" s="6" t="inlineStr"/>
      <c r="M22" s="6" t="inlineStr"/>
      <c r="N22" s="6" t="inlineStr"/>
      <c r="O22" s="7" t="inlineStr">
        <is>
          <t>Alta (Gestamp)</t>
        </is>
      </c>
      <c r="P22" s="7" t="inlineStr">
        <is>
          <t>2026-10-04</t>
        </is>
      </c>
      <c r="Q22" s="7" t="inlineStr">
        <is>
          <t>Punto 21 de la revisión de Gestamp del 2026-10-02 (BMW-03-10R1).</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Requiere decisión</t>
        </is>
      </c>
      <c r="K23" s="6" t="inlineStr"/>
      <c r="L23" s="6" t="inlineStr"/>
      <c r="M23" s="6" t="inlineStr"/>
      <c r="N23" s="6" t="inlineStr"/>
      <c r="O23" s="7" t="inlineStr">
        <is>
          <t>Alta (Gestamp)</t>
        </is>
      </c>
      <c r="P23" s="7" t="inlineStr">
        <is>
          <t>2026-10-04</t>
        </is>
      </c>
      <c r="Q23" s="7" t="inlineStr">
        <is>
          <t>Punto 22 de la revisión de Gestamp del 2026-10-02 (BMW-03-10R1).</t>
        </is>
      </c>
    </row>
    <row r="24">
      <c r="A24" s="10" t="inlineStr">
        <is>
          <t>F01</t>
        </is>
      </c>
      <c r="B24" s="5" t="inlineStr">
        <is>
          <t>Ethos</t>
        </is>
      </c>
      <c r="C24" s="11"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los ;CHECK:/;NOTE:/;WARNING: que citan (F01) se quitan o se actualizan; el cambio está declarado en tools/code_changes.json y tools/check_equivalence.py pasa;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Integrado - correcciones de la revisión</t>
        </is>
      </c>
      <c r="P24" s="7" t="inlineStr">
        <is>
          <t>2026-10-05</t>
        </is>
      </c>
      <c r="Q24" s="7" t="inlineStr">
        <is>
          <t>Versión integrada sobre el respaldo de las 14:46: INTERRUPT ON 20-22 antes de cada GUN_OPEN_CHECK (entrada y después de soldar) y mensaje de estado en GUN_OPEN_LOST después del reconocimiento. Sigue pendiente clamp abierto / QFP regresado antes de entrar.</t>
        </is>
      </c>
    </row>
    <row r="25">
      <c r="A25" s="10" t="inlineStr">
        <is>
          <t>F02</t>
        </is>
      </c>
      <c r="B25" s="5" t="inlineStr">
        <is>
          <t>Ethos</t>
        </is>
      </c>
      <c r="C25" s="8" t="inlineStr">
        <is>
          <t>Alto</t>
        </is>
      </c>
      <c r="D25" s="5" t="inlineStr">
        <is>
          <t>Options 2, 7 y 8 no evalúan el sensor de tuercas: solo decide la cámara</t>
        </is>
      </c>
      <c r="E25" s="5" t="inlineStr">
        <is>
          <t>Código + prueba en celda</t>
        </is>
      </c>
      <c r="F25" s="5" t="inlineStr">
        <is>
          <t>Programador robot + Gestamp controles</t>
        </is>
      </c>
      <c r="G25" s="5" t="inlineStr">
        <is>
          <t>KRC/R1/Program/StyleApps/Options/style1app2opt1.src, KRC/R1/Program/StyleApps/Options/style1app2opt2.src, KRC/R1/Program/Styles/style_1.src, KRC/R1/Program/Styles/Options/style1opt1.src</t>
        </is>
      </c>
      <c r="H25" s="5"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los ;CHECK:/;NOTE:/;WARNING: que citan (F02) se quitan o se actualizan; el cambio está declarado en tools/code_changes.json y tools/check_equivalence.py pasa; ningún encabezado de inline form ni línea dentro de un fold de form cambia sin estar declarado (F32, F21, F31).</t>
        </is>
      </c>
      <c r="I25" s="5" t="inlineStr"/>
      <c r="J25" s="6" t="inlineStr">
        <is>
          <t>Requiere decisión</t>
        </is>
      </c>
      <c r="K25" s="6" t="inlineStr"/>
      <c r="L25" s="6" t="inlineStr"/>
      <c r="M25" s="6" t="inlineStr"/>
      <c r="N25" s="6" t="inlineStr"/>
      <c r="O25" s="7" t="inlineStr">
        <is>
          <t>Integrado - avance parcial</t>
        </is>
      </c>
      <c r="P25" s="7" t="inlineStr">
        <is>
          <t>2026-10-05</t>
        </is>
      </c>
      <c r="Q25" s="7" t="inlineStr">
        <is>
          <t>Sensor y cámara deciden para options 1, 2, 7 y 8; la cámara sin resultado válido da scrap. Faltan: respuesta escrita del PLC con las options de producción, bscrapGE4 = TRUE antes de leer, falla con mensaje para una option desconocida y la prueba en celda.</t>
        </is>
      </c>
    </row>
    <row r="26">
      <c r="A26" s="10"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los ;CHECK:/;NOTE:/;WARNING: que citan (F03) se quitan o se actualizan; el cambio está declarado en tools/code_changes.json y tools/check_equivalence.py pasa;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Auditoría - sin cambio</t>
        </is>
      </c>
      <c r="P26" s="7" t="inlineStr">
        <is>
          <t>2026-10-05</t>
        </is>
      </c>
      <c r="Q26" s="7" t="inlineStr">
        <is>
          <t>PARTPRESENTn sigue poniéndose solo en TRUE y se lee antes del WAIT SEC 0.2; se limpia al final de Style1Opt1, no al inicio.</t>
        </is>
      </c>
    </row>
    <row r="27">
      <c r="A27" s="10"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los ;CHECK:/;NOTE:/;WARNING: que citan (F04) se quitan o se actualizan; el cambio está declarado en tools/code_changes.json y tools/check_equivalence.py pasa;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0"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los ;CHECK:/;NOTE:/;WARNING: que citan (F05) se quitan o se actualizan; el cambio está declarado en tools/code_changes.json y tools/check_equivalence.py pasa;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0"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los ;CHECK:/;NOTE:/;WARNING: que citan (F06) se quitan o se actualizan; el cambio está declarado en tools/code_changes.json y tools/check_equivalence.py pasa;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0"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los ;CHECK:/;NOTE:/;WARNING: que citan (F07) se quitan o se actualizan; el cambio está declarado en tools/code_changes.json y tools/check_equivalence.py pasa;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Auditoría - avance en el original</t>
        </is>
      </c>
      <c r="P30" s="7" t="inlineStr">
        <is>
          <t>2026-10-05</t>
        </is>
      </c>
      <c r="Q30" s="7" t="inlineStr">
        <is>
          <t>En el original del programador los dos timers se reinician después del HALT (igual que la versión de oficina). Sigue sin mensaje y sin do004ProcessFault: el criterio no se cumple completo.</t>
        </is>
      </c>
    </row>
    <row r="31">
      <c r="A31" s="10" t="inlineStr">
        <is>
          <t>F08</t>
        </is>
      </c>
      <c r="B31" s="5" t="inlineStr">
        <is>
          <t>Calvin #2</t>
        </is>
      </c>
      <c r="C31" s="8" t="inlineStr">
        <is>
          <t>Alto</t>
        </is>
      </c>
      <c r="D31" s="5" t="inlineStr">
        <is>
          <t>Resultado de soldadura Bosch no evaluado: weld complete se toma como soldadura buena</t>
        </is>
      </c>
      <c r="E31" s="5" t="inlineStr">
        <is>
          <t>Código + prueba en celda</t>
        </is>
      </c>
      <c r="F31" s="5" t="inlineStr">
        <is>
          <t>Programador robot + Gestamp controles</t>
        </is>
      </c>
      <c r="G31" s="5" t="inlineStr">
        <is>
          <t>KRC/R1/Program/Centerline/centerline_weld.src, KRC/R1/Program/Styles/Options/style1opt1.src</t>
        </is>
      </c>
      <c r="H31" s="5"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los ;CHECK:/;NOTE:/;WARNING: que citan (F08) se quitan o se actualizan; el cambio está declarado en tools/code_changes.json y tools/check_equivalence.py pasa; ningún encabezado de inline form ni línea dentro de un fold de form cambia sin estar declarado (F32, F21, F31).</t>
        </is>
      </c>
      <c r="I31" s="5" t="inlineStr">
        <is>
          <t>F44</t>
        </is>
      </c>
      <c r="J31" s="6" t="inlineStr">
        <is>
          <t>Requiere decisión</t>
        </is>
      </c>
      <c r="K31" s="6" t="inlineStr"/>
      <c r="L31" s="6" t="inlineStr"/>
      <c r="M31" s="6" t="inlineStr"/>
      <c r="N31" s="6" t="inlineStr"/>
      <c r="O31" s="7" t="inlineStr">
        <is>
          <t>Alta (Ethos)</t>
        </is>
      </c>
      <c r="P31" s="7" t="inlineStr">
        <is>
          <t>2026-10-04</t>
        </is>
      </c>
      <c r="Q31" s="7" t="inlineStr">
        <is>
          <t>Revisión Ethos del respaldo 658424 (v431_03_10_r1.zip del 2026-10-02).</t>
        </is>
      </c>
    </row>
    <row r="32">
      <c r="A32" s="10"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los ;CHECK:/;NOTE:/;WARNING: que citan (F09) se quitan o se actualizan; el cambio está declarado en tools/code_changes.json y tools/check_equivalence.py pasa;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Evidencia parcial</t>
        </is>
      </c>
      <c r="P32" s="7" t="inlineStr">
        <is>
          <t>2026-10-05</t>
        </is>
      </c>
      <c r="Q32" s="7" t="inlineStr">
        <is>
          <t>Respaldo 14:46: nWaterFlow = 233 (23.3 l/min) con agua normal en este robot, arriba del mínimo de 15 l/min. Falta la prueba con agua cerrada y la espera antes del weld start.</t>
        </is>
      </c>
    </row>
    <row r="33">
      <c r="A33" s="10"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los ;CHECK:/;NOTE:/;WARNING: que citan (F10) se quitan o se actualizan; el cambio está declarado en tools/code_changes.json y tools/check_equivalence.py pasa;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0" t="inlineStr">
        <is>
          <t>F11</t>
        </is>
      </c>
      <c r="B34" s="5" t="inlineStr">
        <is>
          <t>Ethos</t>
        </is>
      </c>
      <c r="C34" s="11"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los ;CHECK:/;NOTE:/;WARNING: que citan (F11) se quitan o se actualizan; el cambio está declarado en tools/code_changes.json y tools/check_equivalence.py pasa;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0"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los ;CHECK:/;NOTE:/;WARNING: que citan (F12) se quitan o se actualizan; el cambio está declarado en tools/code_changes.json y tools/check_equivalence.py pasa; ningún encabezado de inline form ni línea dentro de un fold de form cambia sin estar declarado (F32, F21, F31).</t>
        </is>
      </c>
      <c r="I35" s="5" t="inlineStr">
        <is>
          <t>F17, F35</t>
        </is>
      </c>
      <c r="J35" s="6" t="inlineStr">
        <is>
          <t>Requiere decisión</t>
        </is>
      </c>
      <c r="K35" s="6" t="inlineStr"/>
      <c r="L35" s="6" t="inlineStr"/>
      <c r="M35" s="6" t="inlineStr"/>
      <c r="N35" s="6" t="inlineStr"/>
      <c r="O35" s="7" t="inlineStr">
        <is>
          <t>Integrado</t>
        </is>
      </c>
      <c r="P35" s="7" t="inlineStr">
        <is>
          <t>2026-10-05</t>
        </is>
      </c>
      <c r="Q35" s="7" t="inlineStr">
        <is>
          <t>Background de AutomationCore apagado otra vez en la versión integrada (F49).</t>
        </is>
      </c>
    </row>
    <row r="36">
      <c r="A36" s="10"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los ;CHECK:/;NOTE:/;WARNING: que citan (F13) se quitan o se actualizan; el cambio está declarado en tools/code_changes.json y tools/check_equivalence.py pasa;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Avance parcial (F52)</t>
        </is>
      </c>
      <c r="P36" s="7" t="inlineStr">
        <is>
          <t>2026-10-07</t>
        </is>
      </c>
      <c r="Q36" s="7" t="inlineStr">
        <is>
          <t>El paso 20 ya termina con el QFP regresado confirmado ($IN[482] ON, $IN[470] OFF) en vez de 800 ms. Timeouts, falla y feed complete siguen pendientes.</t>
        </is>
      </c>
    </row>
    <row r="37">
      <c r="A37" s="10"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los ;CHECK:/;NOTE:/;WARNING: que citan (F14) se quitan o se actualizan; el cambio está declarado en tools/code_changes.json y tools/check_equivalence.py pasa;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0"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los ;CHECK:/;NOTE:/;WARNING: que citan (F15) se quitan o se actualizan; el cambio está declarado en tools/code_changes.json y tools/check_equivalence.py pasa;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0"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los ;CHECK:/;NOTE:/;WARNING: que citan (F16) se quitan o se actualizan; el cambio está declarado en tools/code_changes.json y tools/check_equivalence.py pasa;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0"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los ;CHECK:/;NOTE:/;WARNING: que citan (F17) se quitan o se actualizan; el cambio está declarado en tools/code_changes.json y tools/check_equivalence.py pasa;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0"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los ;CHECK:/;NOTE:/;WARNING: que citan (F18) se quitan o se actualizan; el cambio está declarado en tools/code_changes.json y tools/check_equivalence.py pasa;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0"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Procedimiento red rabbit de Gestamp por escrito (option, pieza, resultado esperado de cada chequeo), adjunto.
• Para la option red rabbit el resultado sale de una sola evaluación que combina sensor y cámara y asigna las dos salidas en el mismo punto: exactamente una de $OUT[141] / $OUT[142] en TRUE y la otra en FALSE; resultado contradictorio, parcial o cámara sin respuesta dan Failed.
• El veredicto se mantiene hasta que el PLC lo lee (con el handshake de fin de ciclo que decida F46); ya no se borra en style1drop1opt2AutoRR antes del fin del ciclo.
• style1drop1opt2AutoRR suelta con un form GripperTech del gripper 1 (GRPg_SetStateAndCheck(1, 1, ...)), sin salidas $OUT[249]/$OUT[250] escritas a mano ni forms del gripper 3, y espera gripper vacío ($IN[253] y $IN[254] OFF) antes de LIN P23.
• Prueba en celda: correr el red rabbit con la pieza red rabbit y otra vez con una pieza buena de 3 tuercas; anotar qué ve el PLC en $OUT[141]/$OUT[142] al final del ciclo (esperado: Passed con la red rabbit, Failed con la buena) y que la pieza se suelta y el robot no se mueve antes de gripper vacío. Fecha.
• Comentarios del código cambiado según docs/CONVENTIONS.md (inglés, señal con dirección y nombre); los ;CHECK:/;NOTE:/;WARNING: que citan (F19) se quitan o se actualizan; el cambio está declarado en tools/code_changes.json y tools/check_equivalence.py pasa; ningún encabezado de inline form ni línea dentro de un fold de form cambia sin estar declarado (F32, F21, F31).</t>
        </is>
      </c>
      <c r="I42" s="5" t="inlineStr">
        <is>
          <t>F46, F31, F40, F03</t>
        </is>
      </c>
      <c r="J42" s="6" t="inlineStr">
        <is>
          <t>Requiere decisión</t>
        </is>
      </c>
      <c r="K42" s="6" t="inlineStr"/>
      <c r="L42" s="6" t="inlineStr"/>
      <c r="M42" s="6" t="inlineStr"/>
      <c r="N42" s="6" t="inlineStr"/>
      <c r="O42" s="7" t="inlineStr">
        <is>
          <t>Integrado - avance parcial</t>
        </is>
      </c>
      <c r="P42" s="7" t="inlineStr">
        <is>
          <t>2026-10-05</t>
        </is>
      </c>
      <c r="Q42" s="7" t="inlineStr">
        <is>
          <t>Option 12 ya pone $OUT[141]/$OUT[142] en sensor y cámara. Falta el veredicto único y que el drop no lo borre antes de que el PLC lo lea.</t>
        </is>
      </c>
    </row>
    <row r="43">
      <c r="A43" s="10" t="inlineStr">
        <is>
          <t>F20</t>
        </is>
      </c>
      <c r="B43" s="5" t="inlineStr">
        <is>
          <t>Ethos</t>
        </is>
      </c>
      <c r="C43" s="4" t="inlineStr">
        <is>
          <t>Medio</t>
        </is>
      </c>
      <c r="D43" s="5" t="inlineStr">
        <is>
          <t>Reject sin permiso del PLC para la posición de rechazo;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En RejectGE4, antes de LIN P23, hay petición de permiso con el número acordado (AC_DropOffCheck(n) o zona) con espera y mensaje, y su liberación después de salir de la posición (P24 o después).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los ;CHECK:/;NOTE:/;WARNING: que citan (F20) se quitan o se actualizan; el cambio está declarado en tools/code_changes.json y tools/check_equivalence.py pasa; ningún encabezado de inline form ni línea dentro de un fold de form cambia sin estar declarado (F32, F21, F31).</t>
        </is>
      </c>
      <c r="I43" s="5" t="inlineStr">
        <is>
          <t>F21</t>
        </is>
      </c>
      <c r="J43" s="6" t="inlineStr">
        <is>
          <t>Requiere decisión</t>
        </is>
      </c>
      <c r="K43" s="6" t="inlineStr"/>
      <c r="L43" s="6" t="inlineStr"/>
      <c r="M43" s="6" t="inlineStr"/>
      <c r="N43" s="6" t="inlineStr"/>
      <c r="O43" s="7" t="inlineStr">
        <is>
          <t>Integrado - avance</t>
        </is>
      </c>
      <c r="P43" s="7" t="inlineStr">
        <is>
          <t>2026-10-05</t>
        </is>
      </c>
      <c r="Q43" s="7" t="inlineStr">
        <is>
          <t>RejectGE4 libera la aplicación 1 por TRIGGER en P23, también después de un scrap del sensor (antes nunca se liberaba en esa ruta). El lugar de rechazo sigue sin interlock con el PLC.</t>
        </is>
      </c>
    </row>
    <row r="44">
      <c r="A44" s="10"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La convención queda anotada en la lista para cada tipo de form usado (PickUp, Application, DropOff) con foto del form insertado en un módulo de prueba y el AC_CmdParam que genera. El módulo de prueba no queda en el controlador.
• Todos los folds ';Params IlfProvider=ac_zoneilf' cumplen la convención: style1pick1opt2 (2 folds), style1app2opt2 (1), style1drop1opt1 (2), style1drop1opt2AutoRR (2), y los de style1pick1opt1, style1pick1opt1AutoRR y style1app2opt1 si la convención los contradice.
• Las llamadas AC_ son las mismas del respaldo anterior; solo cambió la línea ;Params.
• Prueba en el smartPAD: abrir y confirmar (Cmd OK) cada form corregido; en el respaldo siguiente el cuerpo de cada fold es la misma llamada de antes. Anotar fecha.
• Comentarios del código cambiado según docs/CONVENTIONS.md (inglés, señal con dirección y nombre); los ;CHECK:/;NOTE:/;WARNING: que citan (F21) se quitan o se actualizan; el cambio está declarado en tools/code_changes.json y tools/check_equivalence.py pasa; ningún encabezado de inline form ni línea dentro de un fold de form cambia sin estar declarado (F32, F21, F31).</t>
        </is>
      </c>
      <c r="I44" s="5" t="inlineStr">
        <is>
          <t>F32</t>
        </is>
      </c>
      <c r="J44" s="6" t="inlineStr">
        <is>
          <t>Abierto</t>
        </is>
      </c>
      <c r="K44" s="6" t="inlineStr"/>
      <c r="L44" s="6" t="inlineStr"/>
      <c r="M44" s="6" t="inlineStr"/>
      <c r="N44" s="6" t="inlineStr"/>
      <c r="O44" s="7" t="inlineStr">
        <is>
          <t>Alta (Ethos)</t>
        </is>
      </c>
      <c r="P44" s="7" t="inlineStr">
        <is>
          <t>2026-10-04</t>
        </is>
      </c>
      <c r="Q44" s="7" t="inlineStr">
        <is>
          <t>Revisión Ethos del respaldo 658424 (v431_03_10_r1.zip del 2026-10-02).</t>
        </is>
      </c>
    </row>
    <row r="45">
      <c r="A45" s="10"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los ;CHECK:/;NOTE:/;WARNING: que citan (F22) se quitan o se actualizan; el cambio está declarado en tools/code_changes.json y tools/check_equivalence.py pasa;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0" t="inlineStr">
        <is>
          <t>F23</t>
        </is>
      </c>
      <c r="B46" s="5" t="inlineStr">
        <is>
          <t>Ethos</t>
        </is>
      </c>
      <c r="C46" s="9"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10" t="inlineStr">
        <is>
          <t>F24</t>
        </is>
      </c>
      <c r="B47" s="5" t="inlineStr">
        <is>
          <t>Calvin #27</t>
        </is>
      </c>
      <c r="C47" s="9" t="inlineStr">
        <is>
          <t>Bajo</t>
        </is>
      </c>
      <c r="D47" s="5" t="inlineStr">
        <is>
          <t>Camino de retry de soldadura muerto: NUT_WELD_RETRY nunca es TRUE</t>
        </is>
      </c>
      <c r="E47" s="5" t="inlineStr">
        <is>
          <t>Código</t>
        </is>
      </c>
      <c r="F47" s="5" t="inlineStr">
        <is>
          <t>Programador robot (prueba en celda)</t>
        </is>
      </c>
      <c r="G47" s="5" t="inlineStr">
        <is>
          <t>KRC/R1/Program/StyleApps/Options/style1app1opt1.src, KRC/R1/Program/StyleApps/Options/style1app1opt2.src, KRC/R1/Program/StyleApps/Options/style1app1opt3.src, KRC/R1/System/$config.dat</t>
        </is>
      </c>
      <c r="H47" s="5" t="inlineStr">
        <is>
          <t>• Decisión anotada: A (borrar), Ethos, 2026-10-04, por el punto 17 de Gestamp.
• En KRC/R1 no aparece NUT_WELD_RETRY ni RETRY_NUT1.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47" s="5" t="inlineStr"/>
      <c r="J47" s="6" t="inlineStr">
        <is>
          <t>Corregido en oficina - probar en celda</t>
        </is>
      </c>
      <c r="K47" s="6" t="inlineStr"/>
      <c r="L47" s="6" t="inlineStr"/>
      <c r="M47" s="6" t="inlineStr"/>
      <c r="N47" s="6" t="inlineStr"/>
      <c r="O47" s="7" t="inlineStr">
        <is>
          <t>Integrado - por probar</t>
        </is>
      </c>
      <c r="P47" s="7" t="inlineStr">
        <is>
          <t>2026-10-05</t>
        </is>
      </c>
      <c r="Q47" s="7" t="inlineStr">
        <is>
          <t>Sigue en la versión integrada (658424_R10_2026-10-05_0819.zip, armada sobre el respaldo del programador). Cargarla y hacer la prueba de este punto.</t>
        </is>
      </c>
    </row>
    <row r="48">
      <c r="A48" s="10" t="inlineStr">
        <is>
          <t>F25</t>
        </is>
      </c>
      <c r="B48" s="5" t="inlineStr">
        <is>
          <t>Calvin #19</t>
        </is>
      </c>
      <c r="C48" s="9"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los ;CHECK:/;NOTE:/;WARNING: que citan (F25) se quitan o se actualizan; el cambio está declarado en tools/code_changes.json y tools/check_equivalence.py pasa;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0" t="inlineStr">
        <is>
          <t>F26</t>
        </is>
      </c>
      <c r="B49" s="5" t="inlineStr">
        <is>
          <t>Ethos</t>
        </is>
      </c>
      <c r="C49" s="9"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los ;CHECK:/;NOTE:/;WARNING: que citan (F26) se quitan o se actualizan; el cambio está declarado en tools/code_changes.json y tools/check_equivalence.py pasa;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Nota (F52)</t>
        </is>
      </c>
      <c r="P49" s="7" t="inlineStr">
        <is>
          <t>2026-10-07</t>
        </is>
      </c>
      <c r="Q49" s="7" t="inlineStr">
        <is>
          <t>PRELOAD ya no usa $TIMER[12]; la medición de tiempo ciclo usa $TIMER[20]. Dueños anotados en $config.dat.</t>
        </is>
      </c>
    </row>
    <row r="50">
      <c r="A50" s="10" t="inlineStr">
        <is>
          <t>F27</t>
        </is>
      </c>
      <c r="B50" s="5" t="inlineStr">
        <is>
          <t>Ethos</t>
        </is>
      </c>
      <c r="C50" s="9"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10" t="inlineStr">
        <is>
          <t>F28</t>
        </is>
      </c>
      <c r="B51" s="5" t="inlineStr">
        <is>
          <t>Ethos</t>
        </is>
      </c>
      <c r="C51" s="9" t="inlineStr">
        <is>
          <t>Bajo</t>
        </is>
      </c>
      <c r="D51" s="5" t="inlineStr">
        <is>
          <t>Sensor de tuerca leído al llegar al punto; el dwell iba después de la lectura</t>
        </is>
      </c>
      <c r="E51" s="5" t="inlineStr">
        <is>
          <t>Código + prueba en celda</t>
        </is>
      </c>
      <c r="F51" s="5" t="inlineStr">
        <is>
          <t>Programador robot (prueba en celda)</t>
        </is>
      </c>
      <c r="G51" s="5" t="inlineStr">
        <is>
          <t>KRC/R1/Program/StyleApps/Options/style1app2opt1.src</t>
        </is>
      </c>
      <c r="H51" s="5" t="inlineStr">
        <is>
          <t>• En style1app2opt1, en los tres bloques NUT CHECK, PARTPRESENTn se asigna después de WAIT SEC 0.2.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5" t="inlineStr"/>
      <c r="J51" s="6" t="inlineStr">
        <is>
          <t>Corregido en oficina - probar en celda</t>
        </is>
      </c>
      <c r="K51" s="6" t="inlineStr"/>
      <c r="L51" s="6" t="inlineStr"/>
      <c r="M51" s="6" t="inlineStr"/>
      <c r="N51" s="6" t="inlineStr"/>
      <c r="O51" s="7" t="inlineStr">
        <is>
          <t>Integrado - por probar</t>
        </is>
      </c>
      <c r="P51" s="7" t="inlineStr">
        <is>
          <t>2026-10-05</t>
        </is>
      </c>
      <c r="Q51" s="7" t="inlineStr">
        <is>
          <t>Sigue en la versión integrada (658424_R10_2026-10-05_0819.zip, armada sobre el respaldo del programador). Cargarla y hacer la prueba de este punto.</t>
        </is>
      </c>
    </row>
    <row r="52">
      <c r="A52" s="10" t="inlineStr">
        <is>
          <t>F29</t>
        </is>
      </c>
      <c r="B52" s="5" t="inlineStr">
        <is>
          <t>Ethos</t>
        </is>
      </c>
      <c r="C52" s="9"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los ;CHECK:/;NOTE:/;WARNING: que citan (F29) se quitan o se actualizan; el cambio está declarado en tools/code_changes.json y tools/check_equivalence.py pasa;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0" t="inlineStr">
        <is>
          <t>F30</t>
        </is>
      </c>
      <c r="B53" s="5" t="inlineStr">
        <is>
          <t>Ethos</t>
        </is>
      </c>
      <c r="C53" s="9"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bueno de estación 1, uno de estación 2, un rechazo por nut check y uno por cámara (si se puede provocar). Anotar fecha y resultado.</t>
        </is>
      </c>
      <c r="I53" s="5" t="inlineStr"/>
      <c r="J53" s="6" t="inlineStr">
        <is>
          <t>Corregido en oficina - probar en celda</t>
        </is>
      </c>
      <c r="K53" s="6" t="inlineStr"/>
      <c r="L53" s="6" t="inlineStr"/>
      <c r="M53" s="6" t="inlineStr"/>
      <c r="N53" s="6" t="inlineStr"/>
      <c r="O53" s="7" t="inlineStr">
        <is>
          <t>Integrado - por probar</t>
        </is>
      </c>
      <c r="P53" s="7" t="inlineStr">
        <is>
          <t>2026-10-05</t>
        </is>
      </c>
      <c r="Q53" s="7" t="inlineStr">
        <is>
          <t>Sigue en la versión integrada (658424_R10_2026-10-05_0819.zip, armada sobre el respaldo del programador). Cargarla y hacer la prueba de este punto.</t>
        </is>
      </c>
    </row>
    <row r="54">
      <c r="A54" s="10"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los ;CHECK:/;NOTE:/;WARNING: que citan (F31) se quitan o se actualizan; el cambio está declarado en tools/code_changes.json y tools/check_equivalence.py pasa;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10" t="inlineStr">
        <is>
          <t>F32</t>
        </is>
      </c>
      <c r="B55" s="5" t="inlineStr">
        <is>
          <t>Calvin #28</t>
        </is>
      </c>
      <c r="C55" s="4" t="inlineStr">
        <is>
          <t>Medio</t>
        </is>
      </c>
      <c r="D55" s="5" t="inlineStr">
        <is>
          <t>TRIGGERs y resets escritos a mano dentro de folds de inline form</t>
        </is>
      </c>
      <c r="E55" s="5" t="inlineStr">
        <is>
          <t>Código + prueba en celda</t>
        </is>
      </c>
      <c r="F55" s="5" t="inlineStr">
        <is>
          <t>Programador robot (prueba en celda)</t>
        </is>
      </c>
      <c r="G55"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5"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5" t="inlineStr"/>
      <c r="J55" s="6" t="inlineStr">
        <is>
          <t>Corregido en oficina - probar en celda</t>
        </is>
      </c>
      <c r="K55" s="6" t="inlineStr"/>
      <c r="L55" s="6" t="inlineStr"/>
      <c r="M55" s="6" t="inlineStr"/>
      <c r="N55" s="6" t="inlineStr"/>
      <c r="O55" s="7" t="inlineStr">
        <is>
          <t>Integrado - por probar</t>
        </is>
      </c>
      <c r="P55" s="7" t="inlineStr">
        <is>
          <t>2026-10-05</t>
        </is>
      </c>
      <c r="Q55" s="7" t="inlineStr">
        <is>
          <t>Sigue en la versión integrada (658424_R10_2026-10-05_0819.zip, armada sobre el respaldo del programador). Cargarla y hacer la prueba de este punto.</t>
        </is>
      </c>
    </row>
    <row r="56">
      <c r="A56" s="10"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0" t="inlineStr">
        <is>
          <t>F34</t>
        </is>
      </c>
      <c r="B57" s="5" t="inlineStr">
        <is>
          <t>Ethos</t>
        </is>
      </c>
      <c r="C57" s="9"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los ;CHECK:/;NOTE:/;WARNING: que citan (F34) se quitan o se actualizan; el cambio está declarado en tools/code_changes.json y tools/check_equivalence.py pasa;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0"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los ;CHECK:/;NOTE:/;WARNING: que citan (F35) se quitan o se actualizan; el cambio está declarado en tools/code_changes.json y tools/check_equivalence.py pasa;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Severidad regresa a Medio</t>
        </is>
      </c>
      <c r="P58" s="7" t="inlineStr">
        <is>
          <t>2026-10-05</t>
        </is>
      </c>
      <c r="Q58" s="7" t="inlineStr">
        <is>
          <t>Con el background apagado en la versión integrada, $OUT[930] pegado ya no impide el Request to Enter. Sigue pendiente apagar $OUT[930] al final de la referencia de masterización.</t>
        </is>
      </c>
    </row>
    <row r="59">
      <c r="A59" s="10" t="inlineStr">
        <is>
          <t>F36</t>
        </is>
      </c>
      <c r="B59" s="5" t="inlineStr">
        <is>
          <t>Ethos</t>
        </is>
      </c>
      <c r="C59" s="9"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con option 1 lee las 3 tuercas (PARTPRESENT1..3 en TRUE en el display de variables). Anotar fecha.</t>
        </is>
      </c>
      <c r="I59" s="5" t="inlineStr">
        <is>
          <t>C28</t>
        </is>
      </c>
      <c r="J59" s="6" t="inlineStr">
        <is>
          <t>Corregido en oficina - probar en celda</t>
        </is>
      </c>
      <c r="K59" s="6" t="inlineStr"/>
      <c r="L59" s="6" t="inlineStr"/>
      <c r="M59" s="6" t="inlineStr"/>
      <c r="N59" s="6" t="inlineStr"/>
      <c r="O59" s="7" t="inlineStr">
        <is>
          <t>Integrado - por probar</t>
        </is>
      </c>
      <c r="P59" s="7" t="inlineStr">
        <is>
          <t>2026-10-05</t>
        </is>
      </c>
      <c r="Q59" s="7" t="inlineStr">
        <is>
          <t>Sigue en la versión integrada (658424_R10_2026-10-05_0819.zip, armada sobre el respaldo del programador). Cargarla y hacer la prueba de este punto.</t>
        </is>
      </c>
    </row>
    <row r="60">
      <c r="A60" s="12" t="inlineStr">
        <is>
          <t>F37</t>
        </is>
      </c>
      <c r="B60" s="13" t="inlineStr">
        <is>
          <t>Calvin #1</t>
        </is>
      </c>
      <c r="C60" s="14" t="inlineStr">
        <is>
          <t>-</t>
        </is>
      </c>
      <c r="D60" s="13" t="inlineStr">
        <is>
          <t>Presión de intensificado no confirmada antes de weld start: no aplica en R10</t>
        </is>
      </c>
      <c r="E60" s="13" t="inlineStr">
        <is>
          <t>Sin acción</t>
        </is>
      </c>
      <c r="F60" s="13" t="inlineStr">
        <is>
          <t>Programador robot</t>
        </is>
      </c>
      <c r="G60" s="13" t="inlineStr">
        <is>
          <t>KRC/R1/Program/Centerline/centerline_weld.src</t>
        </is>
      </c>
      <c r="H60" s="13" t="inlineStr">
        <is>
          <t>• Se reabre si la espera de $IN[479] dipw1_IntensfPresOk de CENTERLINE_WELD se desactiva o se quita.</t>
        </is>
      </c>
      <c r="I60" s="13" t="inlineStr">
        <is>
          <t>F15, F44</t>
        </is>
      </c>
      <c r="J60" s="13" t="inlineStr">
        <is>
          <t>No aplica</t>
        </is>
      </c>
      <c r="K60" s="13" t="inlineStr"/>
      <c r="L60" s="13" t="inlineStr"/>
      <c r="M60" s="13" t="inlineStr"/>
      <c r="N60" s="13" t="inlineStr"/>
      <c r="O60" s="13" t="inlineStr">
        <is>
          <t>Alta (Calvin)</t>
        </is>
      </c>
      <c r="P60" s="13" t="inlineStr">
        <is>
          <t>2026-10-04</t>
        </is>
      </c>
      <c r="Q60" s="13" t="inlineStr">
        <is>
          <t>Revisión Ethos del respaldo 658424: el punto 1 de Calvin (20R1) no aplica en R10.</t>
        </is>
      </c>
    </row>
    <row r="61">
      <c r="A61" s="10"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los ;CHECK:/;NOTE:/;WARNING: que citan (F38) se quitan o se actualizan; el cambio está declarado en tools/code_changes.json y tools/check_equivalence.py pasa;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0"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0"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los ;CHECK:/;NOTE:/;WARNING: que citan (F40) se quitan o se actualizan; el cambio está declarado en tools/code_changes.json y tools/check_equivalence.py pasa;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0" t="inlineStr">
        <is>
          <t>F41</t>
        </is>
      </c>
      <c r="B64" s="5" t="inlineStr">
        <is>
          <t>Calvin Std 5</t>
        </is>
      </c>
      <c r="C64" s="9"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los ;CHECK:/;NOTE:/;WARNING: que citan (F41) se quitan o se actualizan; el cambio está declarado en tools/code_changes.json y tools/check_equivalence.py pasa;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0" t="inlineStr">
        <is>
          <t>F42</t>
        </is>
      </c>
      <c r="B65" s="5" t="inlineStr">
        <is>
          <t>Calvin #30</t>
        </is>
      </c>
      <c r="C65" s="9"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0"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los ;CHECK:/;NOTE:/;WARNING: que citan (F43) se quitan o se actualizan; el cambio está declarado en tools/code_changes.json y tools/check_equivalence.py pasa;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Riesgo activo</t>
        </is>
      </c>
      <c r="P66" s="7" t="inlineStr">
        <is>
          <t>2026-10-05</t>
        </is>
      </c>
      <c r="Q66" s="7" t="inlineStr">
        <is>
          <t>Con el background activo, el cambio de electrodo corre al final del stepper y espera $IN[92] del PLC en un diálogo; nunca se ha probado. Además $OUT[111] comparte bit del adaptador con $OUT[930] (F18).</t>
        </is>
      </c>
    </row>
    <row r="67">
      <c r="A67" s="10"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los ;CHECK:/;NOTE:/;WARNING: que citan (F44) se quitan o se actualizan; el cambio está declarado en tools/code_changes.json y tools/check_equivalence.py pasa;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12" t="inlineStr">
        <is>
          <t>F45</t>
        </is>
      </c>
      <c r="B68" s="13" t="inlineStr">
        <is>
          <t>Calvin #23</t>
        </is>
      </c>
      <c r="C68" s="15" t="inlineStr">
        <is>
          <t>Bajo</t>
        </is>
      </c>
      <c r="D68" s="13" t="inlineStr">
        <is>
          <t>Rutinas de clamps: grippers 2-4 deshabilitados, solo existe el gripper 1</t>
        </is>
      </c>
      <c r="E68" s="13" t="inlineStr">
        <is>
          <t>Sin acción</t>
        </is>
      </c>
      <c r="F68" s="13" t="inlineStr">
        <is>
          <t>Programador robot</t>
        </is>
      </c>
      <c r="G68" s="13" t="inlineStr">
        <is>
          <t>KRC/R1/Program/Utilities/closeandcheckallclamps.src, KRC/R1/Program/Utilities/openandcheckallclamps.src, KRC/R1/TP/GripperSpotTech/grp_data.dat</t>
        </is>
      </c>
      <c r="H68" s="13" t="inlineStr">
        <is>
          <t>• Las rutinas siguen manejando solo el gripper 1 y su comentario lo dice (verificación de regresión en cada respaldo).
• Se reabre si el EOAT de R10 recibe un gripper 2-4 con función real.</t>
        </is>
      </c>
      <c r="I68" s="13" t="inlineStr"/>
      <c r="J68" s="13" t="inlineStr">
        <is>
          <t>Cerrado - depuración</t>
        </is>
      </c>
      <c r="K68" s="13" t="inlineStr"/>
      <c r="L68" s="13" t="inlineStr"/>
      <c r="M68" s="13" t="inlineStr"/>
      <c r="N68" s="13" t="inlineStr"/>
      <c r="O68" s="13" t="inlineStr">
        <is>
          <t>Alta (Calvin)</t>
        </is>
      </c>
      <c r="P68" s="13" t="inlineStr">
        <is>
          <t>2026-10-04</t>
        </is>
      </c>
      <c r="Q68" s="13" t="inlineStr">
        <is>
          <t>Revisión Ethos del respaldo 658424; el punto sale de la lista de Calvin (Calvin #23).</t>
        </is>
      </c>
    </row>
    <row r="69">
      <c r="A69" s="10"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Requiere decisión</t>
        </is>
      </c>
      <c r="K69" s="6" t="inlineStr"/>
      <c r="L69" s="6" t="inlineStr"/>
      <c r="M69" s="6" t="inlineStr"/>
      <c r="N69" s="6" t="inlineStr"/>
      <c r="O69" s="7" t="inlineStr">
        <is>
          <t>Alta (Ethos)</t>
        </is>
      </c>
      <c r="P69" s="7" t="inlineStr">
        <is>
          <t>2026-10-04</t>
        </is>
      </c>
      <c r="Q69" s="7" t="inlineStr">
        <is>
          <t>Revisión Ethos del respaldo 658424 (v431_03_10_r1.zip del 2026-10-02).</t>
        </is>
      </c>
    </row>
    <row r="70">
      <c r="A70" s="10"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los ;CHECK:/;NOTE:/;WARNING: que citan (F47) se quitan o se actualizan; el cambio está declarado en tools/code_changes.json y tools/check_equivalence.py pasa;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0" t="inlineStr">
        <is>
          <t>F48</t>
        </is>
      </c>
      <c r="B71" s="5" t="inlineStr">
        <is>
          <t>Ethos</t>
        </is>
      </c>
      <c r="C71" s="8" t="inlineStr">
        <is>
          <t>Alto</t>
        </is>
      </c>
      <c r="D71" s="5" t="inlineStr">
        <is>
          <t>Drop al conveyor: interlock de drop-off movido después de la aproximación (corregido); AtDrop3 re-enseñado (se conserva)</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(versión integrada).
• Prueba en celda con la versión integrada: con $IN[75] di075DropOffMachine1 OFF el robot espera antes de moverse hacia el conveyor (mensaje de espera); con $IN[75] ON hace 5 ciclos dejando la pieza en AtDrop3 sin contacto ni marca. Anotar fecha y resultado.
• Respaldo completo con la versión integrada cargada: style1drop1opt1.src/.dat coinciden con el zip entregado (la auditoría lo compara).</t>
        </is>
      </c>
      <c r="I71" s="5" t="inlineStr"/>
      <c r="J71" s="6" t="inlineStr">
        <is>
          <t>Corregido en oficina - probar en celda</t>
        </is>
      </c>
      <c r="K71" s="6" t="inlineStr"/>
      <c r="L71" s="6" t="inlineStr"/>
      <c r="M71" s="6" t="inlineStr"/>
      <c r="N71" s="6" t="inlineStr"/>
      <c r="O71" s="7" t="inlineStr">
        <is>
          <t>Integrado</t>
        </is>
      </c>
      <c r="P71" s="7" t="inlineStr">
        <is>
          <t>2026-10-05</t>
        </is>
      </c>
      <c r="Q71" s="7" t="inlineStr">
        <is>
          <t>P1 se conserva (preguntar al programador por qué lo quitó). La aplicación 1 ya no se libera en el punto de cámara: la libera un TRIGGER en el primer movimiento fuera de la cámara (P5 del drop, P23 del rechazo, P28 del red rabbit).</t>
        </is>
      </c>
    </row>
    <row r="72">
      <c r="A72" s="10" t="inlineStr">
        <is>
          <t>F49</t>
        </is>
      </c>
      <c r="B72" s="5" t="inlineStr">
        <is>
          <t>Ethos</t>
        </is>
      </c>
      <c r="C72" s="8" t="inlineStr">
        <is>
          <t>Alto</t>
        </is>
      </c>
      <c r="D72" s="5" t="inlineStr">
        <is>
          <t>AutomationCore_BKG activado y editado sin decisión registrada</t>
        </is>
      </c>
      <c r="E72" s="5" t="inlineStr">
        <is>
          <t>Decisión Gestamp + código</t>
        </is>
      </c>
      <c r="F72" s="5" t="inlineStr">
        <is>
          <t>Gestamp controles + Programador robot</t>
        </is>
      </c>
      <c r="G72" s="5" t="inlineStr">
        <is>
          <t>KRC/R1/System/sps.sub, KRC/R1/TP/AutomationCore/automationcoreroutines.src, KRC/R1/TP/AutomationCore/automationcoreroutines.dat</t>
        </is>
      </c>
      <c r="H72" s="5"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5" t="inlineStr">
        <is>
          <t>F12, F43, C28</t>
        </is>
      </c>
      <c r="J72" s="6" t="inlineStr">
        <is>
          <t>Requiere decisión</t>
        </is>
      </c>
      <c r="K72" s="6" t="inlineStr"/>
      <c r="L72" s="6" t="inlineStr"/>
      <c r="M72" s="6" t="inlineStr"/>
      <c r="N72" s="6" t="inlineStr"/>
      <c r="O72" s="7" t="inlineStr">
        <is>
          <t>Integrado - background apagado</t>
        </is>
      </c>
      <c r="P72" s="7" t="inlineStr">
        <is>
          <t>2026-10-05</t>
        </is>
      </c>
      <c r="Q72" s="7" t="inlineStr">
        <is>
          <t>El background de AutomationCore se apaga otra vez hasta que Gestamp decida y se corrijan sus problemas; el submit pone $OUT[145] y $OUT[111] en OFF al arrancar. Las ediciones del proveedor quedan, inactivas (C28).</t>
        </is>
      </c>
    </row>
    <row r="73">
      <c r="A73" s="10" t="inlineStr">
        <is>
          <t>F50</t>
        </is>
      </c>
      <c r="B73" s="5" t="inlineStr">
        <is>
          <t>Ethos</t>
        </is>
      </c>
      <c r="C73" s="8" t="inlineStr">
        <is>
          <t>Alto</t>
        </is>
      </c>
      <c r="D73" s="5" t="inlineStr">
        <is>
          <t>Permiso de aplicación 1 (nut check / cámara) revisado después de llegar a P22</t>
        </is>
      </c>
      <c r="E73" s="5" t="inlineStr">
        <is>
          <t>Código + prueba en celda</t>
        </is>
      </c>
      <c r="F73" s="5" t="inlineStr">
        <is>
          <t>Programador robot</t>
        </is>
      </c>
      <c r="G73" s="5" t="inlineStr">
        <is>
          <t>KRC/R1/Program/StyleApps/Options/style1app2opt1.src</t>
        </is>
      </c>
      <c r="H73" s="5" t="inlineStr">
        <is>
          <t>• AC_ApplicationCheck(1) antes de PTP P22 en el respaldo.
• Prueba en celda: con $IN[70] OFF el robot espera antes de moverse a P22 (mensaje de espera); con $IN[70] ON el ciclo sigue normal. Anotar fecha y resultado.</t>
        </is>
      </c>
      <c r="I73" s="5" t="inlineStr"/>
      <c r="J73" s="6" t="inlineStr">
        <is>
          <t>Abierto</t>
        </is>
      </c>
      <c r="K73" s="6" t="inlineStr"/>
      <c r="L73" s="6" t="inlineStr"/>
      <c r="M73" s="6" t="inlineStr"/>
      <c r="N73" s="6" t="inlineStr"/>
      <c r="O73" s="7" t="inlineStr">
        <is>
          <t>Integrado</t>
        </is>
      </c>
      <c r="P73" s="7" t="inlineStr">
        <is>
          <t>2026-10-05</t>
        </is>
      </c>
      <c r="Q73" s="7" t="inlineStr">
        <is>
          <t>No se integra: en la versión integrada AC_ApplicationCheck(1) queda antes de PTP P22.</t>
        </is>
      </c>
    </row>
    <row r="74">
      <c r="A74" s="12" t="inlineStr">
        <is>
          <t>F51</t>
        </is>
      </c>
      <c r="B74" s="13" t="inlineStr">
        <is>
          <t>Ethos</t>
        </is>
      </c>
      <c r="C74" s="15" t="inlineStr">
        <is>
          <t>Bajo</t>
        </is>
      </c>
      <c r="D74" s="13" t="inlineStr">
        <is>
          <t>Apps de soldadura duplicadas por estación de pick (A/B): cada cambio va en las dos</t>
        </is>
      </c>
      <c r="E74" s="13" t="inlineStr">
        <is>
          <t>Sin acción</t>
        </is>
      </c>
      <c r="F74" s="13" t="inlineStr">
        <is>
          <t>Programador robot</t>
        </is>
      </c>
      <c r="G74" s="13" t="inlineStr">
        <is>
          <t>KRC/R1/Program/StyleApps/Options/style1app1opt1A..3B, KRC/R1/Program/Styles/Options/style1opt1.src</t>
        </is>
      </c>
      <c r="H74" s="13" t="inlineStr">
        <is>
          <t>• Documentado; se revisa en cada auditoría que A y B sigan iguales en código.</t>
        </is>
      </c>
      <c r="I74" s="13" t="inlineStr"/>
      <c r="J74" s="13" t="inlineStr">
        <is>
          <t>Sin acción - documentado</t>
        </is>
      </c>
      <c r="K74" s="13" t="inlineStr"/>
      <c r="L74" s="13" t="inlineStr"/>
      <c r="M74" s="13" t="inlineStr"/>
      <c r="N74" s="13" t="inlineStr"/>
      <c r="O74" s="13" t="inlineStr">
        <is>
          <t>Alta (auditoría)</t>
        </is>
      </c>
      <c r="P74" s="13" t="inlineStr">
        <is>
          <t>2026-10-05</t>
        </is>
      </c>
      <c r="Q74" s="13" t="inlineStr">
        <is>
          <t>Integrado en la versión depurada.</t>
        </is>
      </c>
    </row>
    <row r="75">
      <c r="A75" s="10" t="inlineStr">
        <is>
          <t>F52</t>
        </is>
      </c>
      <c r="B75" s="5" t="inlineStr">
        <is>
          <t>Ethos</t>
        </is>
      </c>
      <c r="C75" s="8" t="inlineStr">
        <is>
          <t>Alto</t>
        </is>
      </c>
      <c r="D75" s="5" t="inlineStr">
        <is>
          <t>Tiempo ciclo: el robot espera ~4 s la tuerca antes de las tuercas 2 y 3 (la precarga arrancaba hasta después de soldar)</t>
        </is>
      </c>
      <c r="E75" s="5" t="inlineStr">
        <is>
          <t>Código + prueba en celda</t>
        </is>
      </c>
      <c r="F75" s="5" t="inlineStr">
        <is>
          <t>Programador robot</t>
        </is>
      </c>
      <c r="G75" s="5" t="inlineStr">
        <is>
          <t>KRC/R1/Program/Centerline/PRELOAD.src, KRC/R1/Program/Centerline/centerline_weld.src, KRC/R1/Program/Centerline/Request_next_nut.src, KRC/R1/Program/Centerline/CL_CYCLE_TIME.src, KRC/R1/Program/StyleApps/Options/style1app1opt1A..3B, KRC/R1/System/$config.dat</t>
        </is>
      </c>
      <c r="H75" s="5" t="inlineStr">
        <is>
          <t>• Prueba en T1 y a 100 %: el shuttle no se mueve con la pieza en el pedestal; solo con el robot en P8/P0/P5/P05/P20 de la app 3 o entre ellos, con holgura.
• Una tuerca por alimentación (sin doble tuerca en el shuttle); tuercas 2 y 3 en el pin antes de que el robot entre.
• Dry cycle encendido y apagado; reset de programa a media pieza y rearranque: la tuerca ya alimentada se carga en la siguiente petición, no se alimenta otra.
• 10 ciclos en automático y respaldo: tools/cycle_times.py muestra la espera de tuerca de las tuercas 2 y 3 cerca de 0 y el tiempo de robot parado por pieza.
• Etapa 2 decidida con los tiempos medidos (o documentado que no se hace).</t>
        </is>
      </c>
      <c r="I75" s="5" t="inlineStr"/>
      <c r="J75" s="6" t="inlineStr">
        <is>
          <t>Corregido en oficina - probar en celda</t>
        </is>
      </c>
      <c r="K75" s="6" t="inlineStr"/>
      <c r="L75" s="6" t="inlineStr"/>
      <c r="M75" s="6" t="inlineStr"/>
      <c r="N75" s="6" t="inlineStr"/>
      <c r="O75" s="7" t="inlineStr">
        <is>
          <t>Revisión independiente</t>
        </is>
      </c>
      <c r="P75" s="7" t="inlineStr">
        <is>
          <t>2026-10-07</t>
        </is>
      </c>
      <c r="Q75" s="7" t="inlineStr">
        <is>
          <t>Dos revisores: sin errores de compilación ni rutas del ciclo normal con el shuttle en movimiento con la pieza en el pedestal. Corregido: la alimentación local de CENTERLINE_WELD no corre con una precarga activa (reintento tras timeout de pistola), NUT_START se borra solo cuando se toma, medición en $TIMER[20] (GlueTech reclama el 16), comentarios de trigger saltado.</t>
        </is>
      </c>
    </row>
    <row r="76">
      <c r="A76" s="10" t="inlineStr">
        <is>
          <t>C01</t>
        </is>
      </c>
      <c r="B76" s="5" t="inlineStr">
        <is>
          <t>Ethos</t>
        </is>
      </c>
      <c r="C76" s="16" t="inlineStr">
        <is>
          <t>-</t>
        </is>
      </c>
      <c r="D76" s="5" t="inlineStr">
        <is>
          <t>AutomationCore_Bkg deshabilitado: el estatus al PLC no se actualiza</t>
        </is>
      </c>
      <c r="E76" s="5" t="inlineStr">
        <is>
          <t>Decisión Gestamp</t>
        </is>
      </c>
      <c r="F76" s="5" t="inlineStr">
        <is>
          <t>Gestamp controles / Ethos (Edgar)</t>
        </is>
      </c>
      <c r="G76" s="5" t="inlineStr">
        <is>
          <t>KRC/R1/System/sps.sub, KRC/R1/TP/AutomationCore/automationcoreroutines.src</t>
        </is>
      </c>
      <c r="H76" s="5" t="inlineStr">
        <is>
          <t>• Se cierra cuando se cierra F12.</t>
        </is>
      </c>
      <c r="I76" s="5" t="inlineStr">
        <is>
          <t>F12</t>
        </is>
      </c>
      <c r="J76" s="6" t="inlineStr">
        <is>
          <t>Se cierra con otro punto</t>
        </is>
      </c>
      <c r="K76" s="6" t="inlineStr"/>
      <c r="L76" s="6" t="inlineStr"/>
      <c r="M76" s="6" t="inlineStr"/>
      <c r="N76" s="6" t="inlineStr"/>
      <c r="O76" s="7" t="inlineStr">
        <is>
          <t>Alta (Ethos)</t>
        </is>
      </c>
      <c r="P76" s="7" t="inlineStr">
        <is>
          <t>2026-10-04</t>
        </is>
      </c>
      <c r="Q76" s="7" t="inlineStr">
        <is>
          <t>Revisión Ethos del respaldo 658424 (v431_03_10_r1.zip del 2026-10-02).</t>
        </is>
      </c>
    </row>
    <row r="77">
      <c r="A77" s="10" t="inlineStr">
        <is>
          <t>C02</t>
        </is>
      </c>
      <c r="B77" s="5" t="inlineStr">
        <is>
          <t>Ethos</t>
        </is>
      </c>
      <c r="C77" s="16" t="inlineStr">
        <is>
          <t>-</t>
        </is>
      </c>
      <c r="D77" s="5" t="inlineStr">
        <is>
          <t>Designación BMW-03-10-R1 en los encabezados; confirmar formato con Gestamp</t>
        </is>
      </c>
      <c r="E77" s="5" t="inlineStr">
        <is>
          <t>Información Gestamp</t>
        </is>
      </c>
      <c r="F77" s="5" t="inlineStr">
        <is>
          <t>Ethos (Edgar) / Gestamp controles</t>
        </is>
      </c>
      <c r="G77"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7" s="5" t="inlineStr">
        <is>
          <t>• Confirmación escrita de Gestamp del formato, nombre de línea y códigos de dispositivo.
• Los encabezados del respaldo usan ese formato; los módulos nuevos también.</t>
        </is>
      </c>
      <c r="I77" s="5" t="inlineStr"/>
      <c r="J77" s="6" t="inlineStr">
        <is>
          <t>Requiere decisión</t>
        </is>
      </c>
      <c r="K77" s="6" t="inlineStr"/>
      <c r="L77" s="6" t="inlineStr"/>
      <c r="M77" s="6" t="inlineStr"/>
      <c r="N77" s="6" t="inlineStr"/>
      <c r="O77" s="7" t="inlineStr">
        <is>
          <t>Alta (Ethos)</t>
        </is>
      </c>
      <c r="P77" s="7" t="inlineStr">
        <is>
          <t>2026-10-04</t>
        </is>
      </c>
      <c r="Q77" s="7" t="inlineStr">
        <is>
          <t>Revisión Ethos del respaldo 658424 (v431_03_10_r1.zip del 2026-10-02).</t>
        </is>
      </c>
    </row>
    <row r="78">
      <c r="A78" s="12" t="inlineStr">
        <is>
          <t>C03</t>
        </is>
      </c>
      <c r="B78" s="13" t="inlineStr">
        <is>
          <t>Ethos</t>
        </is>
      </c>
      <c r="C78" s="14" t="inlineStr">
        <is>
          <t>-</t>
        </is>
      </c>
      <c r="D78" s="13" t="inlineStr">
        <is>
          <t>Encabezado estándar Gestamp en cada módulo del integrador</t>
        </is>
      </c>
      <c r="E78" s="13" t="inlineStr">
        <is>
          <t>Sin acción</t>
        </is>
      </c>
      <c r="F78" s="13" t="inlineStr">
        <is>
          <t>Programador robot</t>
        </is>
      </c>
      <c r="G78"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8" s="13" t="inlineStr">
        <is>
          <t>• Ningún módulo que hoy tiene el bloque '; Gestamp Standards' lo pierde en el respaldo.
• Todo .src nuevo del integrador trae el bloque completo (Gestamp Standards / Line / Robot 03-10-R1 (designación) / Application) y un &amp;COMMENT con 03-10-R1.</t>
        </is>
      </c>
      <c r="I78" s="13" t="inlineStr"/>
      <c r="J78" s="13" t="inlineStr">
        <is>
          <t>Cerrado - depuración</t>
        </is>
      </c>
      <c r="K78" s="13" t="inlineStr"/>
      <c r="L78" s="13" t="inlineStr"/>
      <c r="M78" s="13" t="inlineStr"/>
      <c r="N78" s="13" t="inlineStr"/>
      <c r="O78" s="13" t="inlineStr">
        <is>
          <t>Alta (Ethos)</t>
        </is>
      </c>
      <c r="P78" s="13" t="inlineStr">
        <is>
          <t>2026-10-04</t>
        </is>
      </c>
      <c r="Q78" s="13" t="inlineStr">
        <is>
          <t>Revisión Ethos del respaldo 658424 (v431_03_10_r1.zip del 2026-10-02).</t>
        </is>
      </c>
    </row>
    <row r="79">
      <c r="A79" s="10" t="inlineStr">
        <is>
          <t>C04</t>
        </is>
      </c>
      <c r="B79" s="5" t="inlineStr">
        <is>
          <t>Ethos</t>
        </is>
      </c>
      <c r="C79" s="16" t="inlineStr">
        <is>
          <t>-</t>
        </is>
      </c>
      <c r="D79" s="5" t="inlineStr">
        <is>
          <t>Movimientos de pedestal interpolados sobre el dado fijo (external TCP)</t>
        </is>
      </c>
      <c r="E79" s="5" t="inlineStr">
        <is>
          <t>Código + prueba en celda</t>
        </is>
      </c>
      <c r="F79" s="5" t="inlineStr">
        <is>
          <t>Ethos (Edgar) / Programador robot</t>
        </is>
      </c>
      <c r="G79" s="5" t="inlineStr">
        <is>
          <t>KRC/R1/Program/StyleApps/Options/style1app1opt1.src, KRC/R1/Program/StyleApps/Options/style1app1opt2.src, KRC/R1/Program/StyleApps/Options/style1app1opt3.src, KRC/R1/Program/Utilities/RejectGE4.src, KRC/R1/Program/StyleApps/Options/style1app2opt2.src</t>
        </is>
      </c>
      <c r="H79"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9" s="5" t="inlineStr">
        <is>
          <t>C05, F22</t>
        </is>
      </c>
      <c r="J79" s="6" t="inlineStr">
        <is>
          <t>Requiere decisión</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0" t="inlineStr">
        <is>
          <t>C05</t>
        </is>
      </c>
      <c r="B80" s="5" t="inlineStr">
        <is>
          <t>Ethos</t>
        </is>
      </c>
      <c r="C80" s="16" t="inlineStr">
        <is>
          <t>-</t>
        </is>
      </c>
      <c r="D80" s="5" t="inlineStr">
        <is>
          <t>TCP remoto del pedestal (BASE_DATA[3]) sin medir</t>
        </is>
      </c>
      <c r="E80" s="5" t="inlineStr">
        <is>
          <t>Confirmar en sitio</t>
        </is>
      </c>
      <c r="F80" s="5" t="inlineStr">
        <is>
          <t>Puesta en marcha / Programador robot</t>
        </is>
      </c>
      <c r="G80" s="5" t="inlineStr">
        <is>
          <t>KRC/R1/System/$config.dat, KRC/R1/Program/StyleApps/Options/style1app1opt1.src, KRC/R1/Program/StyleApps/Options/style1app1opt2.src, KRC/R1/Program/StyleApps/Options/style1app1opt3.src, KRC/R1/Program/Utilities/RejectGE4.src, KRC/R1/Program/StyleApps/Options/style1app2opt2.src</t>
        </is>
      </c>
      <c r="H80"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80" s="5" t="inlineStr"/>
      <c r="J80" s="6" t="inlineStr">
        <is>
          <t>Abierto</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0" t="inlineStr">
        <is>
          <t>C06</t>
        </is>
      </c>
      <c r="B81" s="5" t="inlineStr">
        <is>
          <t>Ethos</t>
        </is>
      </c>
      <c r="C81" s="16" t="inlineStr">
        <is>
          <t>-</t>
        </is>
      </c>
      <c r="D81" s="5" t="inlineStr">
        <is>
          <t>Herramientas y bases con nombre: nombres de otro proyecto</t>
        </is>
      </c>
      <c r="E81" s="5" t="inlineStr">
        <is>
          <t>Código + prueba en celda</t>
        </is>
      </c>
      <c r="F81" s="5" t="inlineStr">
        <is>
          <t>Programador robot</t>
        </is>
      </c>
      <c r="G81" s="5" t="inlineStr">
        <is>
          <t>KRC/R1/System/$config.dat, KRC/R1/TP/BrakeTest/braketeststart.src</t>
        </is>
      </c>
      <c r="H81"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81" s="5" t="inlineStr">
        <is>
          <t>F47</t>
        </is>
      </c>
      <c r="J81" s="6" t="inlineStr">
        <is>
          <t>Abierto</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0" t="inlineStr">
        <is>
          <t>C07</t>
        </is>
      </c>
      <c r="B82" s="5" t="inlineStr">
        <is>
          <t>Ethos</t>
        </is>
      </c>
      <c r="C82" s="16" t="inlineStr">
        <is>
          <t>-</t>
        </is>
      </c>
      <c r="D82" s="5" t="inlineStr">
        <is>
          <t>Un user frame por utillaje: picks, nut check, reject y drops en WORLD</t>
        </is>
      </c>
      <c r="E82" s="5" t="inlineStr">
        <is>
          <t>Decisión Gestamp</t>
        </is>
      </c>
      <c r="F82" s="5" t="inlineStr">
        <is>
          <t>Gestamp controles / Ethos (Edgar)</t>
        </is>
      </c>
      <c r="G82"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82"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82" s="5" t="inlineStr"/>
      <c r="J82" s="6" t="inlineStr">
        <is>
          <t>Requiere decisión</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0" t="inlineStr">
        <is>
          <t>C08</t>
        </is>
      </c>
      <c r="B83" s="5" t="inlineStr">
        <is>
          <t>Ethos</t>
        </is>
      </c>
      <c r="C83" s="16" t="inlineStr">
        <is>
          <t>-</t>
        </is>
      </c>
      <c r="D83" s="5" t="inlineStr">
        <is>
          <t>Datos de carga: LOAD_DATA[1] tecleado; sin carga con/sin pieza</t>
        </is>
      </c>
      <c r="E83" s="5" t="inlineStr">
        <is>
          <t>Código + prueba en celda</t>
        </is>
      </c>
      <c r="F83" s="5" t="inlineStr">
        <is>
          <t>Programador robot / Puesta en marcha</t>
        </is>
      </c>
      <c r="G83"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3" s="5" t="inlineStr">
        <is>
          <t>• LOAD_DATA[1] coincide con el resultado de LoadDataDetermination del EOAT 1 sin pieza.
• Si la carga con pieza difiere 5 % o más: otra herramienta con TOOL_DATA idéntico a TOOL_DATA[1], nombre y LOAD_DATA con pieza, usada por los movimientos con pieza (del cierre del gripper en el pick a su apertura en drop, drop red rabbit o reject); si difieren menos, la lista anota las dos masas.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3" s="5" t="inlineStr">
        <is>
          <t>G03, F39</t>
        </is>
      </c>
      <c r="J83" s="6" t="inlineStr">
        <is>
          <t>Abierto</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0" t="inlineStr">
        <is>
          <t>C09</t>
        </is>
      </c>
      <c r="B84" s="5" t="inlineStr">
        <is>
          <t>Ethos</t>
        </is>
      </c>
      <c r="C84" s="16" t="inlineStr">
        <is>
          <t>-</t>
        </is>
      </c>
      <c r="D84" s="5" t="inlineStr">
        <is>
          <t>Detección de colisión apagada en todo el programa; la reacción es un HALT</t>
        </is>
      </c>
      <c r="E84" s="5" t="inlineStr">
        <is>
          <t>Código + prueba en celda</t>
        </is>
      </c>
      <c r="F84" s="5" t="inlineStr">
        <is>
          <t>Programador robot / Puesta en marcha</t>
        </is>
      </c>
      <c r="G84"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4"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4" s="5" t="inlineStr">
        <is>
          <t>C08, F39</t>
        </is>
      </c>
      <c r="J84" s="6" t="inlineStr">
        <is>
          <t>Abierto</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0" t="inlineStr">
        <is>
          <t>C10</t>
        </is>
      </c>
      <c r="B85" s="5" t="inlineStr">
        <is>
          <t>Ethos</t>
        </is>
      </c>
      <c r="C85" s="16" t="inlineStr">
        <is>
          <t>-</t>
        </is>
      </c>
      <c r="D85" s="5" t="inlineStr">
        <is>
          <t>Falta el programa de mastering ZERO_G1</t>
        </is>
      </c>
      <c r="E85" s="5" t="inlineStr">
        <is>
          <t>Código + prueba en celda</t>
        </is>
      </c>
      <c r="F85" s="5" t="inlineStr">
        <is>
          <t>Programador robot</t>
        </is>
      </c>
      <c r="G85" s="5" t="inlineStr">
        <is>
          <t>KRC/R1/Program/ZERO_G1.src (nuevo)</t>
        </is>
      </c>
      <c r="H85"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5" s="5" t="inlineStr"/>
      <c r="J85" s="6" t="inlineStr">
        <is>
          <t>Abierto</t>
        </is>
      </c>
      <c r="K85" s="6" t="inlineStr"/>
      <c r="L85" s="6" t="inlineStr"/>
      <c r="M85" s="6" t="inlineStr"/>
      <c r="N85" s="6" t="inlineStr"/>
      <c r="O85" s="7" t="inlineStr">
        <is>
          <t>Alta (Ethos)</t>
        </is>
      </c>
      <c r="P85" s="7" t="inlineStr">
        <is>
          <t>2026-10-04</t>
        </is>
      </c>
      <c r="Q85" s="7" t="inlineStr">
        <is>
          <t>Revisión Ethos del respaldo 658424 (v431_03_10_r1.zip del 2026-10-02).</t>
        </is>
      </c>
    </row>
    <row r="86">
      <c r="A86" s="10" t="inlineStr">
        <is>
          <t>C11</t>
        </is>
      </c>
      <c r="B86" s="5" t="inlineStr">
        <is>
          <t>Ethos</t>
        </is>
      </c>
      <c r="C86" s="16" t="inlineStr">
        <is>
          <t>-</t>
        </is>
      </c>
      <c r="D86" s="5" t="inlineStr">
        <is>
          <t>Zonas sin documentar: ninguna zona pedida, falta la forma NA-FM-71-138.1</t>
        </is>
      </c>
      <c r="E86" s="5" t="inlineStr">
        <is>
          <t>Información Gestamp</t>
        </is>
      </c>
      <c r="F86" s="5" t="inlineStr">
        <is>
          <t>Ethos (Edgar) / Gestamp controles</t>
        </is>
      </c>
      <c r="G86" s="5" t="inlineStr">
        <is>
          <t>KRC/R1/Program/Utilities/hometorepair.src, KRC/R1/Program/Utilities/repairtohome.src, KRC/R1/Program/Utilities/hometopounce.src, KRC/R1/Program/Styles/Options/style1opt1.src</t>
        </is>
      </c>
      <c r="H86"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6" s="5" t="inlineStr"/>
      <c r="J86" s="6" t="inlineStr">
        <is>
          <t>Requiere decisión</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10" t="inlineStr">
        <is>
          <t>C12</t>
        </is>
      </c>
      <c r="B87" s="5" t="inlineStr">
        <is>
          <t>Ethos</t>
        </is>
      </c>
      <c r="C87" s="16" t="inlineStr">
        <is>
          <t>-</t>
        </is>
      </c>
      <c r="D87" s="5" t="inlineStr">
        <is>
          <t>Pounce común: el ciclo no pasa por pounce y do007RobotAtPounce no se calcula</t>
        </is>
      </c>
      <c r="E87" s="5" t="inlineStr">
        <is>
          <t>Decisión Gestamp</t>
        </is>
      </c>
      <c r="F87" s="5" t="inlineStr">
        <is>
          <t>Gestamp controles / Ethos (Edgar)</t>
        </is>
      </c>
      <c r="G87" s="5"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7" s="5"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7" s="5" t="inlineStr">
        <is>
          <t>F12</t>
        </is>
      </c>
      <c r="J87" s="6" t="inlineStr">
        <is>
          <t>Requiere decisión</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12" t="inlineStr">
        <is>
          <t>C13</t>
        </is>
      </c>
      <c r="B88" s="13" t="inlineStr">
        <is>
          <t>Ethos</t>
        </is>
      </c>
      <c r="C88" s="14" t="inlineStr">
        <is>
          <t>-</t>
        </is>
      </c>
      <c r="D88" s="13" t="inlineStr">
        <is>
          <t>Manejo de zonas coherente</t>
        </is>
      </c>
      <c r="E88" s="13" t="inlineStr">
        <is>
          <t>Sin acción</t>
        </is>
      </c>
      <c r="F88" s="13" t="inlineStr">
        <is>
          <t>Programador robot</t>
        </is>
      </c>
      <c r="G88" s="13" t="inlineStr">
        <is>
          <t>KRC/R1/Program/Utilities/hometorepair.src, KRC/R1/Program/Utilities/repairtohome.src, KRC/R1/Program/Utilities/hometopounce.src, KRC/R1/Program/Utilities/pouncetohome.src</t>
        </is>
      </c>
      <c r="H88" s="13" t="inlineStr">
        <is>
          <t>• Se reabre si C11 o C12 agregan zonas: entonces cada zona pedida se libera al salir de ella (no solo por MaintainSystem), con prueba en T1 de las salidas de zona libre.</t>
        </is>
      </c>
      <c r="I88" s="13" t="inlineStr">
        <is>
          <t>C11</t>
        </is>
      </c>
      <c r="J88" s="13" t="inlineStr">
        <is>
          <t>No aplica</t>
        </is>
      </c>
      <c r="K88" s="13" t="inlineStr"/>
      <c r="L88" s="13" t="inlineStr"/>
      <c r="M88" s="13" t="inlineStr"/>
      <c r="N88" s="13" t="inlineStr"/>
      <c r="O88" s="13" t="inlineStr">
        <is>
          <t>Alta (Ethos)</t>
        </is>
      </c>
      <c r="P88" s="13" t="inlineStr">
        <is>
          <t>2026-10-04</t>
        </is>
      </c>
      <c r="Q88" s="13" t="inlineStr">
        <is>
          <t>Revisión Ethos del respaldo 658424 (v431_03_10_r1.zip del 2026-10-02).</t>
        </is>
      </c>
    </row>
    <row r="89">
      <c r="A89" s="10" t="inlineStr">
        <is>
          <t>C14</t>
        </is>
      </c>
      <c r="B89" s="5" t="inlineStr">
        <is>
          <t>Ethos</t>
        </is>
      </c>
      <c r="C89" s="16" t="inlineStr">
        <is>
          <t>-</t>
        </is>
      </c>
      <c r="D89" s="5" t="inlineStr">
        <is>
          <t>Brake test: el 'due' no se reporta y el camino usa tool/base de otro robot</t>
        </is>
      </c>
      <c r="E89" s="5" t="inlineStr">
        <is>
          <t>Código + prueba en celda</t>
        </is>
      </c>
      <c r="F89" s="5" t="inlineStr">
        <is>
          <t>Programador robot</t>
        </is>
      </c>
      <c r="G89" s="5" t="inlineStr">
        <is>
          <t>KRC/R1/TP/BrakeTest/braketeststart.src, KRC/R1/TP/BrakeTest/braketestback.src, KRC/R1/cell.src, KRC/R1/System/sps.sub, KRC/R1/TP/AutomationCore/automationcoreroutines.src</t>
        </is>
      </c>
      <c r="H89" s="5"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9" s="5" t="inlineStr">
        <is>
          <t>F12, F18, F47</t>
        </is>
      </c>
      <c r="J89" s="6" t="inlineStr">
        <is>
          <t>Abierto</t>
        </is>
      </c>
      <c r="K89" s="6" t="inlineStr"/>
      <c r="L89" s="6" t="inlineStr"/>
      <c r="M89" s="6" t="inlineStr"/>
      <c r="N89" s="6" t="inlineStr"/>
      <c r="O89" s="7" t="inlineStr">
        <is>
          <t>Alta (Ethos)</t>
        </is>
      </c>
      <c r="P89" s="7" t="inlineStr">
        <is>
          <t>2026-10-04</t>
        </is>
      </c>
      <c r="Q89" s="7" t="inlineStr">
        <is>
          <t>Revisión Ethos del respaldo 658424 (v431_03_10_r1.zip del 2026-10-02).</t>
        </is>
      </c>
    </row>
    <row r="90">
      <c r="A90" s="10" t="inlineStr">
        <is>
          <t>C15</t>
        </is>
      </c>
      <c r="B90" s="5" t="inlineStr">
        <is>
          <t>Ethos</t>
        </is>
      </c>
      <c r="C90" s="16" t="inlineStr">
        <is>
          <t>-</t>
        </is>
      </c>
      <c r="D90" s="5" t="inlineStr">
        <is>
          <t>Dry cycle seleccionable y sin colgar el robot</t>
        </is>
      </c>
      <c r="E90" s="5" t="inlineStr">
        <is>
          <t>Código + prueba en celda</t>
        </is>
      </c>
      <c r="F90" s="5" t="inlineStr">
        <is>
          <t>Programador robot</t>
        </is>
      </c>
      <c r="G90" s="5"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90" s="5" t="inlineStr">
        <is>
          <t>• Se cierra cuando se cierran F04 y F05.</t>
        </is>
      </c>
      <c r="I90" s="5" t="inlineStr">
        <is>
          <t>F04, F05</t>
        </is>
      </c>
      <c r="J90" s="6" t="inlineStr">
        <is>
          <t>Se cierra con otro punto</t>
        </is>
      </c>
      <c r="K90" s="6" t="inlineStr"/>
      <c r="L90" s="6" t="inlineStr"/>
      <c r="M90" s="6" t="inlineStr"/>
      <c r="N90" s="6" t="inlineStr"/>
      <c r="O90" s="7" t="inlineStr">
        <is>
          <t>Alta (Ethos)</t>
        </is>
      </c>
      <c r="P90" s="7" t="inlineStr">
        <is>
          <t>2026-10-04</t>
        </is>
      </c>
      <c r="Q90" s="7" t="inlineStr">
        <is>
          <t>Revisión Ethos del respaldo 658424 (v431_03_10_r1.zip del 2026-10-02).</t>
        </is>
      </c>
    </row>
    <row r="91">
      <c r="A91" s="10" t="inlineStr">
        <is>
          <t>C16</t>
        </is>
      </c>
      <c r="B91" s="5" t="inlineStr">
        <is>
          <t>Ethos</t>
        </is>
      </c>
      <c r="C91" s="16" t="inlineStr">
        <is>
          <t>-</t>
        </is>
      </c>
      <c r="D91" s="5" t="inlineStr">
        <is>
          <t>Pieza presente / pieza en gripper</t>
        </is>
      </c>
      <c r="E91" s="5" t="inlineStr">
        <is>
          <t>Código + prueba en celda</t>
        </is>
      </c>
      <c r="F91" s="5" t="inlineStr">
        <is>
          <t>Programador robot</t>
        </is>
      </c>
      <c r="G91"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91" s="5" t="inlineStr">
        <is>
          <t>• Se cierra cuando se cierran G09 y F40.
• Se reabre si un cambio quita o salta alguna espera de pieza fuera de dry cycle.</t>
        </is>
      </c>
      <c r="I91" s="5" t="inlineStr">
        <is>
          <t>G09, F40</t>
        </is>
      </c>
      <c r="J91" s="6" t="inlineStr">
        <is>
          <t>Se cierra con otro punto</t>
        </is>
      </c>
      <c r="K91" s="6" t="inlineStr"/>
      <c r="L91" s="6" t="inlineStr"/>
      <c r="M91" s="6" t="inlineStr"/>
      <c r="N91" s="6" t="inlineStr"/>
      <c r="O91" s="7" t="inlineStr">
        <is>
          <t>Alta (Ethos)</t>
        </is>
      </c>
      <c r="P91" s="7" t="inlineStr">
        <is>
          <t>2026-10-04</t>
        </is>
      </c>
      <c r="Q91" s="7" t="inlineStr">
        <is>
          <t>Revisión Ethos del respaldo 658424 (v431_03_10_r1.zip del 2026-10-02).</t>
        </is>
      </c>
    </row>
    <row r="92">
      <c r="A92" s="10" t="inlineStr">
        <is>
          <t>C17</t>
        </is>
      </c>
      <c r="B92" s="5" t="inlineStr">
        <is>
          <t>Ethos</t>
        </is>
      </c>
      <c r="C92" s="16" t="inlineStr">
        <is>
          <t>-</t>
        </is>
      </c>
      <c r="D92" s="5" t="inlineStr">
        <is>
          <t>Verificación de tuercas y red rabbit</t>
        </is>
      </c>
      <c r="E92" s="5" t="inlineStr">
        <is>
          <t>Código + prueba en celda</t>
        </is>
      </c>
      <c r="F92" s="5" t="inlineStr">
        <is>
          <t>Programador robot</t>
        </is>
      </c>
      <c r="G92" s="5"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92" s="5" t="inlineStr">
        <is>
          <t>• Se cierra cuando se cierran F02, F03 y F19.</t>
        </is>
      </c>
      <c r="I92" s="5" t="inlineStr">
        <is>
          <t>F02, F03, F19</t>
        </is>
      </c>
      <c r="J92" s="6" t="inlineStr">
        <is>
          <t>Se cierra con otro punto</t>
        </is>
      </c>
      <c r="K92" s="6" t="inlineStr"/>
      <c r="L92" s="6" t="inlineStr"/>
      <c r="M92" s="6" t="inlineStr"/>
      <c r="N92" s="6" t="inlineStr"/>
      <c r="O92" s="7" t="inlineStr">
        <is>
          <t>Alta (Ethos)</t>
        </is>
      </c>
      <c r="P92" s="7" t="inlineStr">
        <is>
          <t>2026-10-04</t>
        </is>
      </c>
      <c r="Q92" s="7" t="inlineStr">
        <is>
          <t>Revisión Ethos del respaldo 658424 (v431_03_10_r1.zip del 2026-10-02).</t>
        </is>
      </c>
    </row>
    <row r="93">
      <c r="A93" s="10" t="inlineStr">
        <is>
          <t>C18</t>
        </is>
      </c>
      <c r="B93" s="5" t="inlineStr">
        <is>
          <t>Ethos</t>
        </is>
      </c>
      <c r="C93" s="16" t="inlineStr">
        <is>
          <t>-</t>
        </is>
      </c>
      <c r="D93" s="5" t="inlineStr">
        <is>
          <t>Handshakes AutomationCore de pick, application y drop</t>
        </is>
      </c>
      <c r="E93" s="5" t="inlineStr">
        <is>
          <t>Código + prueba en celda</t>
        </is>
      </c>
      <c r="F93" s="5" t="inlineStr">
        <is>
          <t>Programador robot</t>
        </is>
      </c>
      <c r="G93" s="5"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3" s="5" t="inlineStr">
        <is>
          <t>• Se cierra cuando se cierran F20, F21 y F46.</t>
        </is>
      </c>
      <c r="I93" s="5" t="inlineStr">
        <is>
          <t>F20, F21, F46</t>
        </is>
      </c>
      <c r="J93" s="6" t="inlineStr">
        <is>
          <t>Se cierra con otro punto</t>
        </is>
      </c>
      <c r="K93" s="6" t="inlineStr"/>
      <c r="L93" s="6" t="inlineStr"/>
      <c r="M93" s="6" t="inlineStr"/>
      <c r="N93" s="6" t="inlineStr"/>
      <c r="O93" s="7" t="inlineStr">
        <is>
          <t>Alta (Ethos)</t>
        </is>
      </c>
      <c r="P93" s="7" t="inlineStr">
        <is>
          <t>2026-10-04</t>
        </is>
      </c>
      <c r="Q93" s="7" t="inlineStr">
        <is>
          <t>Revisión Ethos del respaldo 658424 (v431_03_10_r1.zip del 2026-10-02).</t>
        </is>
      </c>
    </row>
    <row r="94">
      <c r="A94" s="10" t="inlineStr">
        <is>
          <t>C19</t>
        </is>
      </c>
      <c r="B94" s="5" t="inlineStr">
        <is>
          <t>Ethos</t>
        </is>
      </c>
      <c r="C94" s="16" t="inlineStr">
        <is>
          <t>-</t>
        </is>
      </c>
      <c r="D94" s="5" t="inlineStr">
        <is>
          <t>Request to enter: doCriticalWZ nunca se escribe; el PLC ve entrada permitida</t>
        </is>
      </c>
      <c r="E94" s="5" t="inlineStr">
        <is>
          <t>Código + prueba en celda</t>
        </is>
      </c>
      <c r="F94" s="5" t="inlineStr">
        <is>
          <t>Programador robot / Seguridad</t>
        </is>
      </c>
      <c r="G94" s="5" t="inlineStr">
        <is>
          <t>KRC/R1/System/sps.sub, KRC/R1/TP/AutomationCore/automationcoreroutines.src, KRC/R1/Program/Centerline/PRELOAD.src, KRC/R1/Program/Centerline/centerline_weld.src</t>
        </is>
      </c>
      <c r="H94" s="5"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4" s="5" t="inlineStr">
        <is>
          <t>F12, F11, F35</t>
        </is>
      </c>
      <c r="J94" s="6" t="inlineStr">
        <is>
          <t>Requiere decisión</t>
        </is>
      </c>
      <c r="K94" s="6" t="inlineStr"/>
      <c r="L94" s="6" t="inlineStr"/>
      <c r="M94" s="6" t="inlineStr"/>
      <c r="N94" s="6" t="inlineStr"/>
      <c r="O94" s="7" t="inlineStr">
        <is>
          <t>Alta (Ethos)</t>
        </is>
      </c>
      <c r="P94" s="7" t="inlineStr">
        <is>
          <t>2026-10-04</t>
        </is>
      </c>
      <c r="Q94" s="7" t="inlineStr">
        <is>
          <t>Revisión Ethos del respaldo 658424 (v431_03_10_r1.zip del 2026-10-02).</t>
        </is>
      </c>
    </row>
    <row r="95">
      <c r="A95" s="10" t="inlineStr">
        <is>
          <t>C20</t>
        </is>
      </c>
      <c r="B95" s="5" t="inlineStr">
        <is>
          <t>Ethos</t>
        </is>
      </c>
      <c r="C95" s="16" t="inlineStr">
        <is>
          <t>-</t>
        </is>
      </c>
      <c r="D95" s="5" t="inlineStr">
        <is>
          <t>Conteo de soldaduras al final del ciclo: #CHECK apagado y WeldNoRequired distinto de 3</t>
        </is>
      </c>
      <c r="E95" s="5" t="inlineStr">
        <is>
          <t>Código + prueba en celda</t>
        </is>
      </c>
      <c r="F95" s="5" t="inlineStr">
        <is>
          <t>Programador robot</t>
        </is>
      </c>
      <c r="G95" s="5" t="inlineStr">
        <is>
          <t>KRC/R1/Program/Centerline/centerline_weld.src, KRC/R1/TP/AutomationCore/automationcoreroutines.src, KRC/R1/TP/AutomationCore/automationcoredata.dat</t>
        </is>
      </c>
      <c r="H95"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5" s="5" t="inlineStr">
        <is>
          <t>F46, F08, F02, F05</t>
        </is>
      </c>
      <c r="J95" s="6" t="inlineStr">
        <is>
          <t>Abierto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0" t="inlineStr">
        <is>
          <t>C21</t>
        </is>
      </c>
      <c r="B96" s="5" t="inlineStr">
        <is>
          <t>Ethos</t>
        </is>
      </c>
      <c r="C96" s="16" t="inlineStr">
        <is>
          <t>-</t>
        </is>
      </c>
      <c r="D96" s="5" t="inlineStr">
        <is>
          <t>Fallas por mensajes AutomationCore: ningún HALT sin mensaje ni WAIT FOR FALSE</t>
        </is>
      </c>
      <c r="E96" s="5" t="inlineStr">
        <is>
          <t>Código + prueba en celda</t>
        </is>
      </c>
      <c r="F96" s="5" t="inlineStr">
        <is>
          <t>Programador robot</t>
        </is>
      </c>
      <c r="G96"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6"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6" s="5" t="inlineStr">
        <is>
          <t>F06, F07, F15</t>
        </is>
      </c>
      <c r="J96" s="6" t="inlineStr">
        <is>
          <t>Abierto</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0" t="inlineStr">
        <is>
          <t>C22</t>
        </is>
      </c>
      <c r="B97" s="5" t="inlineStr">
        <is>
          <t>Ethos</t>
        </is>
      </c>
      <c r="C97" s="16" t="inlineStr">
        <is>
          <t>-</t>
        </is>
      </c>
      <c r="D97" s="5" t="inlineStr">
        <is>
          <t>Grippers por inline forms GripperTech</t>
        </is>
      </c>
      <c r="E97" s="5" t="inlineStr">
        <is>
          <t>Código + prueba en celda</t>
        </is>
      </c>
      <c r="F97" s="5" t="inlineStr">
        <is>
          <t>Programador robot / Puesta en marcha</t>
        </is>
      </c>
      <c r="G97"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7"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7" s="5" t="inlineStr">
        <is>
          <t>F31, F33, F19</t>
        </is>
      </c>
      <c r="J97" s="6" t="inlineStr">
        <is>
          <t>Abierto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0" t="inlineStr">
        <is>
          <t>C23</t>
        </is>
      </c>
      <c r="B98" s="5" t="inlineStr">
        <is>
          <t>Ethos</t>
        </is>
      </c>
      <c r="C98" s="16" t="inlineStr">
        <is>
          <t>-</t>
        </is>
      </c>
      <c r="D98" s="5" t="inlineStr">
        <is>
          <t>Nombres AutomationCore para la E/S, sin direcciones literales</t>
        </is>
      </c>
      <c r="E98" s="5" t="inlineStr">
        <is>
          <t>Código</t>
        </is>
      </c>
      <c r="F98" s="5" t="inlineStr">
        <is>
          <t>Programador robot</t>
        </is>
      </c>
      <c r="G98" s="5" t="inlineStr">
        <is>
          <t>KRC/R1/Program/Centerline/centerline_weld.src, KRC/R1/Program/Centerline/PRELOAD.src, KRC/R1/Program/Centerline/CENTERLINE_HOME.src, KRC/R1/System/sps.sub, KRC/R1/System/$config.dat, KRC/R1/TP/AutomationCore/automationcoreroutines.dat</t>
        </is>
      </c>
      <c r="H98" s="5" t="inlineStr">
        <is>
          <t>• Se cierra cuando se cierran F17, F29 y F36.</t>
        </is>
      </c>
      <c r="I98" s="5" t="inlineStr">
        <is>
          <t>F17, F29, F36</t>
        </is>
      </c>
      <c r="J98" s="6" t="inlineStr">
        <is>
          <t>Se cierra con otro punto</t>
        </is>
      </c>
      <c r="K98" s="6" t="inlineStr"/>
      <c r="L98" s="6" t="inlineStr"/>
      <c r="M98" s="6" t="inlineStr"/>
      <c r="N98" s="6" t="inlineStr"/>
      <c r="O98" s="7" t="inlineStr">
        <is>
          <t>Alta (Ethos)</t>
        </is>
      </c>
      <c r="P98" s="7" t="inlineStr">
        <is>
          <t>2026-10-04</t>
        </is>
      </c>
      <c r="Q98" s="7" t="inlineStr">
        <is>
          <t>Revisión Ethos del respaldo 658424 (v431_03_10_r1.zip del 2026-10-02).</t>
        </is>
      </c>
    </row>
    <row r="99">
      <c r="A99" s="12" t="inlineStr">
        <is>
          <t>C24</t>
        </is>
      </c>
      <c r="B99" s="13" t="inlineStr">
        <is>
          <t>Ethos</t>
        </is>
      </c>
      <c r="C99" s="14" t="inlineStr">
        <is>
          <t>-</t>
        </is>
      </c>
      <c r="D99" s="13" t="inlineStr">
        <is>
          <t>Los comentarios nombran la señal con su dirección</t>
        </is>
      </c>
      <c r="E99" s="13" t="inlineStr">
        <is>
          <t>Sin acción</t>
        </is>
      </c>
      <c r="F99" s="13" t="inlineStr">
        <is>
          <t>Programador robot</t>
        </is>
      </c>
      <c r="G99"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9" s="13" t="inlineStr">
        <is>
          <t>• Toda acción de E/S o espera nueva o cambiada del respaldo tiene en las líneas de arriba un comentario con dirección y nombre declarado.
• Ningún comentario nuevo o cambiado escribe '$IN/$OUT[n] nombre' con un nombre no declarado en ese índice.</t>
        </is>
      </c>
      <c r="I99" s="13" t="inlineStr"/>
      <c r="J99" s="13" t="inlineStr">
        <is>
          <t>Cerrado - depuración</t>
        </is>
      </c>
      <c r="K99" s="13" t="inlineStr"/>
      <c r="L99" s="13" t="inlineStr"/>
      <c r="M99" s="13" t="inlineStr"/>
      <c r="N99" s="13" t="inlineStr"/>
      <c r="O99" s="13" t="inlineStr">
        <is>
          <t>Alta (Ethos)</t>
        </is>
      </c>
      <c r="P99" s="13" t="inlineStr">
        <is>
          <t>2026-10-04</t>
        </is>
      </c>
      <c r="Q99" s="13" t="inlineStr">
        <is>
          <t>Revisión Ethos del respaldo 658424 (v431_03_10_r1.zip del 2026-10-02).</t>
        </is>
      </c>
    </row>
    <row r="100">
      <c r="A100" s="10" t="inlineStr">
        <is>
          <t>C25</t>
        </is>
      </c>
      <c r="B100" s="5" t="inlineStr">
        <is>
          <t>Ethos</t>
        </is>
      </c>
      <c r="C100" s="16" t="inlineStr">
        <is>
          <t>-</t>
        </is>
      </c>
      <c r="D100" s="5" t="inlineStr">
        <is>
          <t>Inline forms consistentes con el código</t>
        </is>
      </c>
      <c r="E100" s="5" t="inlineStr">
        <is>
          <t>Código</t>
        </is>
      </c>
      <c r="F100" s="5" t="inlineStr">
        <is>
          <t>Programador robot</t>
        </is>
      </c>
      <c r="G100"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100" s="5" t="inlineStr">
        <is>
          <t>• Se cierra cuando se cierran F21, F31 y F32.</t>
        </is>
      </c>
      <c r="I100" s="5" t="inlineStr">
        <is>
          <t>F21, F31, F32</t>
        </is>
      </c>
      <c r="J100" s="6" t="inlineStr">
        <is>
          <t>Se cierra con otro punto</t>
        </is>
      </c>
      <c r="K100" s="6" t="inlineStr"/>
      <c r="L100" s="6" t="inlineStr"/>
      <c r="M100" s="6" t="inlineStr"/>
      <c r="N100" s="6" t="inlineStr"/>
      <c r="O100" s="7" t="inlineStr">
        <is>
          <t>Alta (Ethos)</t>
        </is>
      </c>
      <c r="P100" s="7" t="inlineStr">
        <is>
          <t>2026-10-04</t>
        </is>
      </c>
      <c r="Q100" s="7" t="inlineStr">
        <is>
          <t>Revisión Ethos del respaldo 658424 (v431_03_10_r1.zip del 2026-10-02).</t>
        </is>
      </c>
    </row>
    <row r="101">
      <c r="A101" s="12" t="inlineStr">
        <is>
          <t>C26</t>
        </is>
      </c>
      <c r="B101" s="13" t="inlineStr">
        <is>
          <t>Ethos</t>
        </is>
      </c>
      <c r="C101" s="14" t="inlineStr">
        <is>
          <t>-</t>
        </is>
      </c>
      <c r="D101" s="13" t="inlineStr">
        <is>
          <t>Solo inglés en comentarios, títulos de fold y &amp;COMMENT</t>
        </is>
      </c>
      <c r="E101" s="13" t="inlineStr">
        <is>
          <t>Sin acción</t>
        </is>
      </c>
      <c r="F101" s="13" t="inlineStr">
        <is>
          <t>Programador robot</t>
        </is>
      </c>
      <c r="G101"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101" s="13"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101" s="13" t="inlineStr"/>
      <c r="J101" s="13" t="inlineStr">
        <is>
          <t>Cerrado - depuración</t>
        </is>
      </c>
      <c r="K101" s="13" t="inlineStr"/>
      <c r="L101" s="13" t="inlineStr"/>
      <c r="M101" s="13" t="inlineStr"/>
      <c r="N101" s="13" t="inlineStr"/>
      <c r="O101" s="13" t="inlineStr">
        <is>
          <t>Alta (Ethos)</t>
        </is>
      </c>
      <c r="P101" s="13" t="inlineStr">
        <is>
          <t>2026-10-04</t>
        </is>
      </c>
      <c r="Q101" s="13" t="inlineStr">
        <is>
          <t>Revisión Ethos del respaldo 658424 (v431_03_10_r1.zip del 2026-10-02).</t>
        </is>
      </c>
    </row>
    <row r="102">
      <c r="A102" s="12" t="inlineStr">
        <is>
          <t>C27</t>
        </is>
      </c>
      <c r="B102" s="13" t="inlineStr">
        <is>
          <t>Ethos</t>
        </is>
      </c>
      <c r="C102" s="14" t="inlineStr">
        <is>
          <t>-</t>
        </is>
      </c>
      <c r="D102" s="13" t="inlineStr">
        <is>
          <t>Proceso controlado por robot no compartido; regla de dos procesos</t>
        </is>
      </c>
      <c r="E102" s="13" t="inlineStr">
        <is>
          <t>Sin acción</t>
        </is>
      </c>
      <c r="F102" s="13" t="inlineStr">
        <is>
          <t>Ethos (Edgar)</t>
        </is>
      </c>
      <c r="G102" s="13" t="inlineStr"/>
      <c r="H102" s="13" t="inlineStr">
        <is>
          <t>• Se reabre solo si R10 pasa de dos procesos o si otro robot empieza a usar el pedestal CenterLine.</t>
        </is>
      </c>
      <c r="I102" s="13" t="inlineStr"/>
      <c r="J102" s="13" t="inlineStr">
        <is>
          <t>No aplica</t>
        </is>
      </c>
      <c r="K102" s="13" t="inlineStr"/>
      <c r="L102" s="13" t="inlineStr"/>
      <c r="M102" s="13" t="inlineStr"/>
      <c r="N102" s="13" t="inlineStr"/>
      <c r="O102" s="13" t="inlineStr">
        <is>
          <t>Alta (Ethos)</t>
        </is>
      </c>
      <c r="P102" s="13" t="inlineStr">
        <is>
          <t>2026-10-04</t>
        </is>
      </c>
      <c r="Q102" s="13" t="inlineStr">
        <is>
          <t>Revisión Ethos del respaldo 658424 (v431_03_10_r1.zip del 2026-10-02).</t>
        </is>
      </c>
    </row>
    <row r="103">
      <c r="A103" s="10" t="inlineStr">
        <is>
          <t>C28</t>
        </is>
      </c>
      <c r="B103" s="5" t="inlineStr">
        <is>
          <t>Ethos</t>
        </is>
      </c>
      <c r="C103" s="16" t="inlineStr">
        <is>
          <t>-</t>
        </is>
      </c>
      <c r="D103" s="5" t="inlineStr">
        <is>
          <t>Ediciones del integrador en archivos del proveedor: listarlas en la entrega</t>
        </is>
      </c>
      <c r="E103" s="5" t="inlineStr">
        <is>
          <t>Procedimiento</t>
        </is>
      </c>
      <c r="F103" s="5" t="inlineStr">
        <is>
          <t>Ethos (Edgar) / Programador robot</t>
        </is>
      </c>
      <c r="G103"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3"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3" s="5" t="inlineStr">
        <is>
          <t>F12, F46, C09, C12, C14, C19, C20</t>
        </is>
      </c>
      <c r="J103" s="6" t="inlineStr">
        <is>
          <t>Abierto</t>
        </is>
      </c>
      <c r="K103" s="6" t="inlineStr"/>
      <c r="L103" s="6" t="inlineStr"/>
      <c r="M103" s="6" t="inlineStr"/>
      <c r="N103" s="6" t="inlineStr"/>
      <c r="O103" s="7" t="inlineStr">
        <is>
          <t>Integrado - ediciones listadas</t>
        </is>
      </c>
      <c r="P103" s="7" t="inlineStr">
        <is>
          <t>2026-10-05</t>
        </is>
      </c>
      <c r="Q103" s="7" t="inlineStr">
        <is>
          <t>Ediciones del proveedor integradas y declaradas en tools/code_changes.json: automationcoreroutines.src/.dat, nutweldroutines.dat.</t>
        </is>
      </c>
    </row>
  </sheetData>
  <autoFilter ref="A1:Q103"/>
  <conditionalFormatting sqref="A2:Q103">
    <cfRule type="expression" priority="1" dxfId="0" stopIfTrue="1">
      <formula>OR($J2="Cerrado - auditado",$J2="Cerrado - depuración",$J2="Aceptado sin cambio",$J2="No aplica",$J2="Sin acción - documentado")</formula>
    </cfRule>
  </conditionalFormatting>
  <dataValidations count="1">
    <dataValidation sqref="J2:J103" showDropDown="0" showInputMessage="0" showErrorMessage="1" allowBlank="0" errorTitle="Estado" error="Elige un estado de la lista (hoja Instrucciones)." type="list">
      <formula1>"Abierto,Requiere decisión,Corregido en oficina - probar en celda,En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0" customWidth="1" min="2" max="2"/>
    <col width="12" customWidth="1" min="3" max="3"/>
  </cols>
  <sheetData>
    <row r="1">
      <c r="A1" s="17" t="inlineStr">
        <is>
          <t>Resumen de puntos abiertos</t>
        </is>
      </c>
    </row>
    <row r="2">
      <c r="A2" s="18" t="inlineStr">
        <is>
          <t>Generado 2026-10-07 13:41 (hora del centro de México)</t>
        </is>
      </c>
    </row>
    <row r="3">
      <c r="A3" s="19" t="inlineStr">
        <is>
          <t>Estado</t>
        </is>
      </c>
      <c r="B3" s="19" t="inlineStr">
        <is>
          <t>Puntos</t>
        </is>
      </c>
    </row>
    <row r="4">
      <c r="A4" s="20" t="inlineStr">
        <is>
          <t>Abierto</t>
        </is>
      </c>
      <c r="B4" s="20">
        <f>COUNTIF('Puntos abiertos'!$J$2:$J$103,A4)</f>
        <v/>
      </c>
    </row>
    <row r="5">
      <c r="A5" s="20" t="inlineStr">
        <is>
          <t>Requiere decisión</t>
        </is>
      </c>
      <c r="B5" s="20">
        <f>COUNTIF('Puntos abiertos'!$J$2:$J$103,A5)</f>
        <v/>
      </c>
    </row>
    <row r="6">
      <c r="A6" s="20" t="inlineStr">
        <is>
          <t>Corregido en oficina - probar en celda</t>
        </is>
      </c>
      <c r="B6" s="20">
        <f>COUNTIF('Puntos abiertos'!$J$2:$J$103,A6)</f>
        <v/>
      </c>
    </row>
    <row r="7">
      <c r="A7" s="20" t="inlineStr">
        <is>
          <t>En proceso</t>
        </is>
      </c>
      <c r="B7" s="20">
        <f>COUNTIF('Puntos abiertos'!$J$2:$J$103,A7)</f>
        <v/>
      </c>
    </row>
    <row r="8">
      <c r="A8" s="20" t="inlineStr">
        <is>
          <t>Corregido - por auditar</t>
        </is>
      </c>
      <c r="B8" s="20">
        <f>COUNTIF('Puntos abiertos'!$J$2:$J$103,A8)</f>
        <v/>
      </c>
    </row>
    <row r="9">
      <c r="A9" s="20" t="inlineStr">
        <is>
          <t>Cerrado - auditado</t>
        </is>
      </c>
      <c r="B9" s="20">
        <f>COUNTIF('Puntos abiertos'!$J$2:$J$103,A9)</f>
        <v/>
      </c>
    </row>
    <row r="10">
      <c r="A10" s="20" t="inlineStr">
        <is>
          <t>Reabierto</t>
        </is>
      </c>
      <c r="B10" s="20">
        <f>COUNTIF('Puntos abiertos'!$J$2:$J$103,A10)</f>
        <v/>
      </c>
    </row>
    <row r="11">
      <c r="A11" s="20" t="inlineStr">
        <is>
          <t>Aceptado sin cambio</t>
        </is>
      </c>
      <c r="B11" s="20">
        <f>COUNTIF('Puntos abiertos'!$J$2:$J$103,A11)</f>
        <v/>
      </c>
    </row>
    <row r="12">
      <c r="A12" s="20" t="inlineStr">
        <is>
          <t>Cerrado - depuración</t>
        </is>
      </c>
      <c r="B12" s="20">
        <f>COUNTIF('Puntos abiertos'!$J$2:$J$103,A12)</f>
        <v/>
      </c>
    </row>
    <row r="13">
      <c r="A13" s="20" t="inlineStr">
        <is>
          <t>No aplica</t>
        </is>
      </c>
      <c r="B13" s="20">
        <f>COUNTIF('Puntos abiertos'!$J$2:$J$103,A13)</f>
        <v/>
      </c>
    </row>
    <row r="14">
      <c r="A14" s="20" t="inlineStr">
        <is>
          <t>Sin acción - documentado</t>
        </is>
      </c>
      <c r="B14" s="20">
        <f>COUNTIF('Puntos abiertos'!$J$2:$J$103,A14)</f>
        <v/>
      </c>
    </row>
    <row r="15">
      <c r="A15" s="20" t="inlineStr">
        <is>
          <t>Se cierra con otro punto</t>
        </is>
      </c>
      <c r="B15" s="20">
        <f>COUNTIF('Puntos abiertos'!$J$2:$J$103,A15)</f>
        <v/>
      </c>
    </row>
    <row r="16">
      <c r="A16" s="21" t="inlineStr">
        <is>
          <t>Total</t>
        </is>
      </c>
      <c r="B16" s="21">
        <f>SUM(B4:B15)</f>
        <v/>
      </c>
    </row>
    <row r="18">
      <c r="A18" s="19" t="inlineStr">
        <is>
          <t>Severidad</t>
        </is>
      </c>
      <c r="B18" s="19" t="inlineStr">
        <is>
          <t>Total</t>
        </is>
      </c>
      <c r="C18" s="19" t="inlineStr">
        <is>
          <t>Pendientes</t>
        </is>
      </c>
    </row>
    <row r="19">
      <c r="A19" s="20" t="inlineStr">
        <is>
          <t>Crítico</t>
        </is>
      </c>
      <c r="B19" s="20">
        <f>COUNTIF('Puntos abiertos'!$C$2:$C$103,A19)</f>
        <v/>
      </c>
      <c r="C19" s="20">
        <f>COUNTIFS('Puntos abiertos'!$C$2:$C$103,A19,'Puntos abiertos'!$J$2:$J$103,"Abierto")+COUNTIFS('Puntos abiertos'!$C$2:$C$103,A19,'Puntos abiertos'!$J$2:$J$103,"Requiere decisión")+COUNTIFS('Puntos abiertos'!$C$2:$C$103,A19,'Puntos abiertos'!$J$2:$J$103,"Corregido en oficina - probar en celda")+COUNTIFS('Puntos abiertos'!$C$2:$C$103,A19,'Puntos abiertos'!$J$2:$J$103,"En proceso")+COUNTIFS('Puntos abiertos'!$C$2:$C$103,A19,'Puntos abiertos'!$J$2:$J$103,"Corregido - por auditar")+COUNTIFS('Puntos abiertos'!$C$2:$C$103,A19,'Puntos abiertos'!$J$2:$J$103,"Reabierto")</f>
        <v/>
      </c>
    </row>
    <row r="20">
      <c r="A20" s="20" t="inlineStr">
        <is>
          <t>Alto</t>
        </is>
      </c>
      <c r="B20" s="20">
        <f>COUNTIF('Puntos abiertos'!$C$2:$C$103,A20)</f>
        <v/>
      </c>
      <c r="C20" s="20">
        <f>COUNTIFS('Puntos abiertos'!$C$2:$C$103,A20,'Puntos abiertos'!$J$2:$J$103,"Abierto")+COUNTIFS('Puntos abiertos'!$C$2:$C$103,A20,'Puntos abiertos'!$J$2:$J$103,"Requiere decisión")+COUNTIFS('Puntos abiertos'!$C$2:$C$103,A20,'Puntos abiertos'!$J$2:$J$103,"Corregido en oficina - probar en celda")+COUNTIFS('Puntos abiertos'!$C$2:$C$103,A20,'Puntos abiertos'!$J$2:$J$103,"En proceso")+COUNTIFS('Puntos abiertos'!$C$2:$C$103,A20,'Puntos abiertos'!$J$2:$J$103,"Corregido - por auditar")+COUNTIFS('Puntos abiertos'!$C$2:$C$103,A20,'Puntos abiertos'!$J$2:$J$103,"Reabierto")</f>
        <v/>
      </c>
    </row>
    <row r="21">
      <c r="A21" s="20" t="inlineStr">
        <is>
          <t>Medio</t>
        </is>
      </c>
      <c r="B21" s="20">
        <f>COUNTIF('Puntos abiertos'!$C$2:$C$103,A21)</f>
        <v/>
      </c>
      <c r="C21" s="20">
        <f>COUNTIFS('Puntos abiertos'!$C$2:$C$103,A21,'Puntos abiertos'!$J$2:$J$103,"Abierto")+COUNTIFS('Puntos abiertos'!$C$2:$C$103,A21,'Puntos abiertos'!$J$2:$J$103,"Requiere decisión")+COUNTIFS('Puntos abiertos'!$C$2:$C$103,A21,'Puntos abiertos'!$J$2:$J$103,"Corregido en oficina - probar en celda")+COUNTIFS('Puntos abiertos'!$C$2:$C$103,A21,'Puntos abiertos'!$J$2:$J$103,"En proceso")+COUNTIFS('Puntos abiertos'!$C$2:$C$103,A21,'Puntos abiertos'!$J$2:$J$103,"Corregido - por auditar")+COUNTIFS('Puntos abiertos'!$C$2:$C$103,A21,'Puntos abiertos'!$J$2:$J$103,"Reabierto")</f>
        <v/>
      </c>
    </row>
    <row r="22">
      <c r="A22" s="20" t="inlineStr">
        <is>
          <t>Bajo</t>
        </is>
      </c>
      <c r="B22" s="20">
        <f>COUNTIF('Puntos abiertos'!$C$2:$C$103,A22)</f>
        <v/>
      </c>
      <c r="C22" s="20">
        <f>COUNTIFS('Puntos abiertos'!$C$2:$C$103,A22,'Puntos abiertos'!$J$2:$J$103,"Abierto")+COUNTIFS('Puntos abiertos'!$C$2:$C$103,A22,'Puntos abiertos'!$J$2:$J$103,"Requiere decisión")+COUNTIFS('Puntos abiertos'!$C$2:$C$103,A22,'Puntos abiertos'!$J$2:$J$103,"Corregido en oficina - probar en celda")+COUNTIFS('Puntos abiertos'!$C$2:$C$103,A22,'Puntos abiertos'!$J$2:$J$103,"En proceso")+COUNTIFS('Puntos abiertos'!$C$2:$C$103,A22,'Puntos abiertos'!$J$2:$J$103,"Corregido - por auditar")+COUNTIFS('Puntos abiertos'!$C$2:$C$103,A22,'Puntos abiertos'!$J$2:$J$103,"Reabierto")</f>
        <v/>
      </c>
    </row>
    <row r="24">
      <c r="A24" s="19" t="inlineStr">
        <is>
          <t>Origen</t>
        </is>
      </c>
      <c r="B24" s="19" t="inlineStr">
        <is>
          <t>Total</t>
        </is>
      </c>
      <c r="C24" s="19" t="inlineStr">
        <is>
          <t>Pendientes</t>
        </is>
      </c>
    </row>
    <row r="25">
      <c r="A25" s="20" t="inlineStr">
        <is>
          <t>Gestamp</t>
        </is>
      </c>
      <c r="B25" s="20">
        <f>COUNTIF('Puntos abiertos'!$B$2:$B$103,"Gestamp*")</f>
        <v/>
      </c>
      <c r="C25" s="20">
        <f>COUNTIFS('Puntos abiertos'!$B$2:$B$103,"Gestamp*",'Puntos abiertos'!$J$2:$J$103,"Abierto")+COUNTIFS('Puntos abiertos'!$B$2:$B$103,"Gestamp*",'Puntos abiertos'!$J$2:$J$103,"Requiere decisión")+COUNTIFS('Puntos abiertos'!$B$2:$B$103,"Gestamp*",'Puntos abiertos'!$J$2:$J$103,"Corregido en oficina - probar en celda")+COUNTIFS('Puntos abiertos'!$B$2:$B$103,"Gestamp*",'Puntos abiertos'!$J$2:$J$103,"En proceso")+COUNTIFS('Puntos abiertos'!$B$2:$B$103,"Gestamp*",'Puntos abiertos'!$J$2:$J$103,"Corregido - por auditar")+COUNTIFS('Puntos abiertos'!$B$2:$B$103,"Gestamp*",'Puntos abiertos'!$J$2:$J$103,"Reabierto")</f>
        <v/>
      </c>
    </row>
    <row r="26">
      <c r="A26" s="20" t="inlineStr">
        <is>
          <t>Ethos</t>
        </is>
      </c>
      <c r="B26" s="20">
        <f>COUNTIF('Puntos abiertos'!$B$2:$B$103,"Ethos")</f>
        <v/>
      </c>
      <c r="C26" s="20">
        <f>COUNTIFS('Puntos abiertos'!$B$2:$B$103,"Ethos",'Puntos abiertos'!$J$2:$J$103,"Abierto")+COUNTIFS('Puntos abiertos'!$B$2:$B$103,"Ethos",'Puntos abiertos'!$J$2:$J$103,"Requiere decisión")+COUNTIFS('Puntos abiertos'!$B$2:$B$103,"Ethos",'Puntos abiertos'!$J$2:$J$103,"Corregido en oficina - probar en celda")+COUNTIFS('Puntos abiertos'!$B$2:$B$103,"Ethos",'Puntos abiertos'!$J$2:$J$103,"En proceso")+COUNTIFS('Puntos abiertos'!$B$2:$B$103,"Ethos",'Puntos abiertos'!$J$2:$J$103,"Corregido - por auditar")+COUNTIFS('Puntos abiertos'!$B$2:$B$103,"Ethos",'Puntos abiertos'!$J$2:$J$103,"Reabierto")</f>
        <v/>
      </c>
    </row>
    <row r="27">
      <c r="A27" s="20" t="inlineStr">
        <is>
          <t>Calvin (Ethos)</t>
        </is>
      </c>
      <c r="B27" s="20">
        <f>COUNTIF('Puntos abiertos'!$B$2:$B$103,"Calvin*")</f>
        <v/>
      </c>
      <c r="C27" s="20">
        <f>COUNTIFS('Puntos abiertos'!$B$2:$B$103,"Calvin*",'Puntos abiertos'!$J$2:$J$103,"Abierto")+COUNTIFS('Puntos abiertos'!$B$2:$B$103,"Calvin*",'Puntos abiertos'!$J$2:$J$103,"Requiere decisión")+COUNTIFS('Puntos abiertos'!$B$2:$B$103,"Calvin*",'Puntos abiertos'!$J$2:$J$103,"Corregido en oficina - probar en celda")+COUNTIFS('Puntos abiertos'!$B$2:$B$103,"Calvin*",'Puntos abiertos'!$J$2:$J$103,"En proceso")+COUNTIFS('Puntos abiertos'!$B$2:$B$103,"Calvin*",'Puntos abiertos'!$J$2:$J$103,"Corregido - por auditar")+COUNTIFS('Puntos abiertos'!$B$2:$B$103,"Calvin*",'Puntos abiertos'!$J$2:$J$103,"Reabierto")</f>
        <v/>
      </c>
    </row>
    <row r="29">
      <c r="A29" s="18" t="inlineStr">
        <is>
          <t>Pendientes = Abierto, Requiere decisión, Corregido en oficina - probar en celda,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22" t="inlineStr">
        <is>
          <t>Cómo usar esta lista</t>
        </is>
      </c>
    </row>
    <row r="2">
      <c r="A2" s="23" t="inlineStr">
        <is>
          <t>1. Trabaja los puntos en el programa del robot. Respeta docs/CONVENTIONS.md del repositorio: comentarios en inglés con la señal nombrada ($OUT[n] nombre), sin código comentado, sin reabrir inline forms que tengan líneas escritas a mano.</t>
        </is>
      </c>
    </row>
    <row r="3">
      <c r="A3" s="23" t="inlineStr">
        <is>
          <t>2. En la hoja "Puntos abiertos" llena SOLO las columnas amarillas de los puntos que trabajaste: Estado, Qué cambió el programador, Módulos modificados, Evidencia / prueba en celda, Fecha programador.</t>
        </is>
      </c>
    </row>
    <row r="4">
      <c r="A4" s="23" t="inlineStr">
        <is>
          <t>3. Estado: pon "En proceso" si empezaste y no está listo, o "Corregido - por auditar" si el cambio está hecho y probado (también los "Corregido en oficina" después de probarlos en celda). No pongas Cerrado: lo pone la auditoría.</t>
        </is>
      </c>
    </row>
    <row r="5">
      <c r="A5" s="23" t="inlineStr">
        <is>
          <t>4. La evidencia es lo que pide el criterio de cierre: prueba en celda con fecha y resultado, valor leído en el smartPAD, documento de Gestamp. Sin evidencia el punto se reabre.</t>
        </is>
      </c>
    </row>
    <row r="6">
      <c r="A6" s="23"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23" t="inlineStr"/>
    </row>
    <row r="8">
      <c r="A8" s="22" t="inlineStr">
        <is>
          <t>Ejemplo de una fila llenada (formato esperado)</t>
        </is>
      </c>
    </row>
    <row r="9">
      <c r="A9" s="23" t="inlineStr">
        <is>
          <t>Estado: Corregido - por auditar</t>
        </is>
      </c>
    </row>
    <row r="10">
      <c r="A10" s="23" t="inlineStr">
        <is>
          <t>Qué cambió el programador: style1app1opt1..3: espera supervisada antes del LIN de aproximación (gun open LPT &gt; 120000, $IN[466], $IN[482], NOT $IN[470]) con $TIMER[21] 3 s, mensaje y do004ProcessFault. PRELOAD paso 20 ahora espera $IN[482].</t>
        </is>
      </c>
    </row>
    <row r="11">
      <c r="A11" s="23" t="inlineStr">
        <is>
          <t>Módulos modificados: style1app1opt1.src ... style1app1opt3.src, PRELOAD.src</t>
        </is>
      </c>
    </row>
    <row r="12">
      <c r="A12" s="23" t="inlineStr">
        <is>
          <t>Evidencia / prueba en celda: 2026-10-06, T1 50 %: clamp cerrado a mano, el robot se detuvo antes de P22 con mensaje; con todo abierto el ciclo siguió normal. 3 ciclos en automático OK.</t>
        </is>
      </c>
    </row>
    <row r="13">
      <c r="A13" s="23" t="inlineStr">
        <is>
          <t>Fecha programador: 2026-10-06</t>
        </is>
      </c>
    </row>
    <row r="14">
      <c r="A14" s="23" t="inlineStr"/>
    </row>
    <row r="15">
      <c r="A15" s="22" t="inlineStr">
        <is>
          <t>Puntos de Gestamp</t>
        </is>
      </c>
    </row>
    <row r="16">
      <c r="A16" s="23"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F49 son solo del R10; F48 y F49 salieron de la auditoría del 2026-10-05). La lista de Calvin se verificó punto por punto: los puntos que él también señaló dicen "Calvin #n" en Origen. Esta lista es la única que se usa.</t>
        </is>
      </c>
    </row>
    <row r="17">
      <c r="A17" s="23" t="inlineStr">
        <is>
          <t>"Corregido en oficina - probar en celda": Ethos ya cambió el programa en la versión que se entrega. Carga esa versión, haz la prueba que pide el criterio de cierre y pon "Corregido - por auditar" con la evidencia; si la prueba falla, pon "En proceso" y explica qué pasó.</t>
        </is>
      </c>
    </row>
    <row r="18">
      <c r="A18" s="23" t="inlineStr">
        <is>
          <t>Fila en verde: punto cerrado (Cerrado - auditado, Cerrado - depuración, Aceptado sin cambio, No aplica, Sin acción - documentado), aunque sea crítico. No hay nada que hacer en esas filas.</t>
        </is>
      </c>
    </row>
    <row r="19">
      <c r="A19" s="23" t="inlineStr"/>
    </row>
    <row r="20">
      <c r="A20" s="22" t="inlineStr">
        <is>
          <t>Estados</t>
        </is>
      </c>
    </row>
    <row r="21">
      <c r="A21" s="20" t="inlineStr">
        <is>
          <t>Abierto: Pendiente de trabajar.</t>
        </is>
      </c>
    </row>
    <row r="22">
      <c r="A22" s="20" t="inlineStr">
        <is>
          <t>Requiere decisión: Falta información o decisión (Gestamp, seguridad, Ethos) antes de programar.</t>
        </is>
      </c>
    </row>
    <row r="23">
      <c r="A23" s="20" t="inlineStr">
        <is>
          <t>Corregido en oficina - probar en celda: Ethos lo cambió en la versión entregada; falta la prueba en celda del programador.</t>
        </is>
      </c>
    </row>
    <row r="24">
      <c r="A24" s="20" t="inlineStr">
        <is>
          <t>En proceso: Lo pone el programador: trabajo empezado.</t>
        </is>
      </c>
    </row>
    <row r="25">
      <c r="A25" s="20" t="inlineStr">
        <is>
          <t>Corregido - por auditar: Lo pone el programador: cambio hecho y probado, pide auditoría.</t>
        </is>
      </c>
    </row>
    <row r="26">
      <c r="A26" s="20" t="inlineStr">
        <is>
          <t>Cerrado - auditado: Lo pone la auditoría: cumple el criterio de cierre en el respaldo.</t>
        </is>
      </c>
    </row>
    <row r="27">
      <c r="A27" s="20" t="inlineStr">
        <is>
          <t>Reabierto: Lo pone la auditoría: no se encontró el cambio o no cumple (ver Nota auditoría).</t>
        </is>
      </c>
    </row>
    <row r="28">
      <c r="A28" s="20" t="inlineStr">
        <is>
          <t>Aceptado sin cambio: Ethos / Gestamp decidieron no corregir; queda la razón.</t>
        </is>
      </c>
    </row>
    <row r="29">
      <c r="A29" s="20" t="inlineStr">
        <is>
          <t>Cerrado - depuración: Resuelto por la depuración del 2026-10-04.</t>
        </is>
      </c>
    </row>
    <row r="30">
      <c r="A30" s="20" t="inlineStr">
        <is>
          <t>No aplica: El punto ya cumple.</t>
        </is>
      </c>
    </row>
    <row r="31">
      <c r="A31" s="20" t="inlineStr">
        <is>
          <t>Sin acción - documentado: Se deja como está; la nota dice cuándo se reabriría.</t>
        </is>
      </c>
    </row>
    <row r="32">
      <c r="A32" s="20" t="inlineStr">
        <is>
          <t>Se cierra con otro punto: Duplica otro punto (columna Depende de); se cierra con él.</t>
        </is>
      </c>
    </row>
    <row r="34">
      <c r="A34" s="24"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5" t="inlineStr">
        <is>
          <t>Fecha auditoría</t>
        </is>
      </c>
      <c r="B1" s="25" t="inlineStr">
        <is>
          <t>Respaldo</t>
        </is>
      </c>
      <c r="C1" s="25" t="inlineStr">
        <is>
          <t>Cerrados</t>
        </is>
      </c>
      <c r="D1" s="25" t="inlineStr">
        <is>
          <t>Reabiertos</t>
        </is>
      </c>
      <c r="E1" s="25" t="inlineStr">
        <is>
          <t>Cambios de código</t>
        </is>
      </c>
      <c r="F1" s="25" t="inlineStr">
        <is>
          <t>Notas</t>
        </is>
      </c>
    </row>
    <row r="2">
      <c r="A2" s="20" t="inlineStr">
        <is>
          <t>2026-10-04</t>
        </is>
      </c>
      <c r="B2" s="20" t="inlineStr">
        <is>
          <t>658424_R10 (versión de oficina, tools/build_archive.py)</t>
        </is>
      </c>
      <c r="C2" s="20" t="n">
        <v>0</v>
      </c>
      <c r="D2" s="20" t="n">
        <v>0</v>
      </c>
      <c r="E2" s="20" t="inlineStr">
        <is>
          <t>12 módulos con cambios de lógica, 8 equivalentes tras renombres, 1 borrado (centerline_loop.src), 2 movidos (Styles/optiones → Styles/Options), 104 idénticos (tools/check_equivalence.py contra la base fb8a4c8)</t>
        </is>
      </c>
      <c r="F2" s="20"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0" t="inlineStr">
        <is>
          <t>2026-10-05</t>
        </is>
      </c>
      <c r="B3" s="20" t="inlineStr">
        <is>
          <t>bmw_03_10_r1.zip (am.ini 2026-10-05 09:43, robot BMW_03_10_R1, serie 658424)</t>
        </is>
      </c>
      <c r="C3" s="20" t="n">
        <v>0</v>
      </c>
      <c r="D3" s="20" t="n">
        <v>0</v>
      </c>
      <c r="E3" s="20" t="inlineStr">
        <is>
          <t>62 archivos cambiados, 7 agregados (GUN_OPEN_CHECK, proyecto WorkVisual BMW-03-10R1_v8), 39 KRL con cambios de código (-230/+1323 líneas) contra el estado auditado (b5a8803)</t>
        </is>
      </c>
      <c r="F3" s="20"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0" t="inlineStr">
        <is>
          <t>2026-10-05</t>
        </is>
      </c>
      <c r="B4" s="20" t="inlineStr">
        <is>
          <t>658424_R10_2026-10-05_0819.zip (versión integrada, armada sobre bmw_03_10_r1.zip)</t>
        </is>
      </c>
      <c r="C4" s="20" t="n">
        <v>0</v>
      </c>
      <c r="D4" s="20" t="n">
        <v>0</v>
      </c>
      <c r="E4" s="20" t="inlineStr">
        <is>
          <t>Contra la depuración fb8a4c8: 26 KRL con cambios de código, 2 módulos nuevos (GUN_OPEN_CHECK.src/.dat), 22 archivos fuera; contra el repositorio: idéntico (308 entradas). audit_backup: 0 FAIL, 0 WARN.</t>
        </is>
      </c>
      <c r="F4" s="20"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0" t="inlineStr">
        <is>
          <t>2026-10-05</t>
        </is>
      </c>
      <c r="B5" s="20" t="inlineStr">
        <is>
          <t>bmw_03_10_r1.zip (am.ini 2026-10-05 14:46)</t>
        </is>
      </c>
      <c r="C5" s="20" t="n">
        <v>0</v>
      </c>
      <c r="D5" s="20" t="n">
        <v>0</v>
      </c>
      <c r="E5" s="20"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0"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0" t="inlineStr">
        <is>
          <t>2026-10-05</t>
        </is>
      </c>
      <c r="B6" s="20" t="inlineStr">
        <is>
          <t>R10_paquete_2026-10-05_1351.zip (versión integrada sobre el respaldo de las 14:46; zip completo 658424_R10_2026-10-05_1351)</t>
        </is>
      </c>
      <c r="C6" s="20" t="n">
        <v>0</v>
      </c>
      <c r="D6" s="20" t="n">
        <v>0</v>
      </c>
      <c r="E6" s="20" t="inlineStr">
        <is>
          <t>Contra el respaldo de las 14:46: 57 programas a reemplazar, 2 a agregar (Styles/Options), 24 a borrar. Contra la depuración fb8a4c8: 38 KRL con cambios de código; audit_backup 0 FAIL, 0 WARN; zip idéntico al repositorio.</t>
        </is>
      </c>
      <c r="F6" s="20"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0" t="inlineStr">
        <is>
          <t>2026-10-07</t>
        </is>
      </c>
      <c r="B7" s="20" t="inlineStr">
        <is>
          <t>R10_paquete_2026-10-07_1341.zip (etapa 1 de tiempo ciclo sobre el respaldo de las 14:46 del 2026-10-05; incluye todo el paquete del 2026-10-05; zip completo 658424_R10_2026-10-07_1340)</t>
        </is>
      </c>
      <c r="C7" s="20" t="n">
        <v>0</v>
      </c>
      <c r="D7" s="20" t="n">
        <v>0</v>
      </c>
      <c r="E7" s="20"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0"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2026-10-07T19:41:36Z</dcterms:created>
  <dcterms:modified xsi:type="dcterms:W3CDTF">2026-10-07T19:41:36Z</dcterms:modified>
</cp:coreProperties>
</file>