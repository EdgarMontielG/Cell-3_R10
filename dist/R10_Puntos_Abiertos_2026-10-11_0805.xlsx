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ntos abiertos" sheetId="1" state="visible" r:id="rId1"/>
    <sheet name="Resumen" sheetId="2" state="visible" r:id="rId2"/>
    <sheet name="Instrucciones" sheetId="3" state="visible" r:id="rId3"/>
    <sheet name="Historial" sheetId="4" state="visible" r:id="rId4"/>
  </sheets>
  <definedNames>
    <definedName name="_xlnm._FilterDatabase" localSheetId="0" hidden="1">'Puntos abiertos'!$A$1:$Q$104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9"/>
    </font>
    <font>
      <name val="Arial"/>
      <b val="1"/>
      <color rgb="001F2933"/>
      <sz val="9"/>
    </font>
    <font>
      <name val="Arial"/>
      <color rgb="001F2933"/>
      <sz val="9"/>
    </font>
    <font>
      <name val="Arial"/>
      <color rgb="00A16207"/>
      <sz val="9"/>
    </font>
    <font>
      <name val="Arial"/>
      <color rgb="00C4561D"/>
      <sz val="9"/>
    </font>
    <font>
      <name val="Arial"/>
      <color rgb="0052606D"/>
      <sz val="9"/>
    </font>
    <font>
      <name val="Arial"/>
      <color rgb="00B42318"/>
      <sz val="9"/>
    </font>
    <font>
      <name val="Arial"/>
      <color rgb="009AA5B1"/>
      <sz val="9"/>
    </font>
    <font>
      <name val="Arial"/>
      <b val="1"/>
      <color rgb="001D4E89"/>
      <sz val="12"/>
    </font>
    <font>
      <name val="Arial"/>
      <i val="1"/>
      <color rgb="00616E7C"/>
      <sz val="8"/>
    </font>
    <font>
      <name val="Arial"/>
      <b val="1"/>
      <sz val="9"/>
    </font>
    <font>
      <name val="Arial"/>
      <sz val="9"/>
    </font>
    <font>
      <name val="Arial"/>
      <b val="1"/>
      <color rgb="001D4E89"/>
      <sz val="10"/>
    </font>
    <font>
      <name val="Arial"/>
      <i val="1"/>
      <sz val="9"/>
    </font>
  </fonts>
  <fills count="7">
    <fill>
      <patternFill/>
    </fill>
    <fill>
      <patternFill patternType="gray125"/>
    </fill>
    <fill>
      <patternFill patternType="solid">
        <fgColor rgb="001D4E89"/>
      </patternFill>
    </fill>
    <fill>
      <patternFill patternType="solid">
        <fgColor rgb="00DCEBFA"/>
      </patternFill>
    </fill>
    <fill>
      <patternFill patternType="solid">
        <fgColor rgb="00FFF4C2"/>
      </patternFill>
    </fill>
    <fill>
      <patternFill patternType="solid">
        <fgColor rgb="00E4E7EB"/>
      </patternFill>
    </fill>
    <fill>
      <patternFill patternType="solid">
        <fgColor rgb="00C6EFCE"/>
      </patternFill>
    </fill>
  </fills>
  <borders count="2">
    <border>
      <left/>
      <right/>
      <top/>
      <bottom/>
      <diagonal/>
    </border>
    <border>
      <left style="thin">
        <color rgb="00CBD2D9"/>
      </left>
      <right style="thin">
        <color rgb="00CBD2D9"/>
      </right>
      <top style="thin">
        <color rgb="00CBD2D9"/>
      </top>
      <bottom style="thin">
        <color rgb="00CBD2D9"/>
      </bottom>
    </border>
  </borders>
  <cellStyleXfs count="1">
    <xf numFmtId="0" fontId="0" fillId="0" borderId="0"/>
  </cellStyleXfs>
  <cellXfs count="29">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5" fillId="0"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6" fillId="6" borderId="1" applyAlignment="1" pivotButton="0" quotePrefix="0" xfId="0">
      <alignment vertical="top" wrapText="1"/>
    </xf>
    <xf numFmtId="0" fontId="6" fillId="0" borderId="1" applyAlignment="1" pivotButton="0" quotePrefix="0" xfId="0">
      <alignment vertical="top" wrapText="1"/>
    </xf>
    <xf numFmtId="0" fontId="5" fillId="6" borderId="1" applyAlignment="1" pivotButton="0" quotePrefix="0" xfId="0">
      <alignment vertical="top" wrapText="1"/>
    </xf>
    <xf numFmtId="0" fontId="4" fillId="6" borderId="1" applyAlignment="1" pivotButton="0" quotePrefix="0" xfId="0">
      <alignment vertical="top" wrapText="1"/>
    </xf>
    <xf numFmtId="0" fontId="7" fillId="6" borderId="1" applyAlignment="1" pivotButton="0" quotePrefix="0" xfId="0">
      <alignment vertical="top" wrapText="1"/>
    </xf>
    <xf numFmtId="0" fontId="2" fillId="0" borderId="1" applyAlignment="1" pivotButton="0" quotePrefix="0" xfId="0">
      <alignment vertical="top" wrapText="1"/>
    </xf>
    <xf numFmtId="0" fontId="7" fillId="0" borderId="1" applyAlignment="1" pivotButton="0" quotePrefix="0" xfId="0">
      <alignment vertical="top" wrapText="1"/>
    </xf>
    <xf numFmtId="0" fontId="8" fillId="6" borderId="1" applyAlignment="1" pivotButton="0" quotePrefix="0" xfId="0">
      <alignment vertical="top" wrapText="1"/>
    </xf>
    <xf numFmtId="0" fontId="8" fillId="0" borderId="1" applyAlignment="1" pivotButton="0" quotePrefix="0" xfId="0">
      <alignment vertical="top" wrapText="1"/>
    </xf>
    <xf numFmtId="0" fontId="9" fillId="0" borderId="0" pivotButton="0" quotePrefix="0" xfId="0"/>
    <xf numFmtId="0" fontId="10" fillId="0" borderId="0" pivotButton="0" quotePrefix="0" xfId="0"/>
    <xf numFmtId="0" fontId="11" fillId="5" borderId="0" pivotButton="0" quotePrefix="0" xfId="0"/>
    <xf numFmtId="0" fontId="12" fillId="0" borderId="0" pivotButton="0" quotePrefix="0" xfId="0"/>
    <xf numFmtId="0" fontId="11" fillId="0" borderId="0" pivotButton="0" quotePrefix="0" xfId="0"/>
    <xf numFmtId="0" fontId="13" fillId="0" borderId="0" applyAlignment="1" pivotButton="0" quotePrefix="0" xfId="0">
      <alignment vertical="top" wrapText="1"/>
    </xf>
    <xf numFmtId="0" fontId="3" fillId="0" borderId="0" applyAlignment="1" pivotButton="0" quotePrefix="0" xfId="0">
      <alignment vertical="top" wrapText="1"/>
    </xf>
    <xf numFmtId="0" fontId="14" fillId="0" borderId="0" pivotButton="0" quotePrefix="0" xfId="0"/>
    <xf numFmtId="0" fontId="1" fillId="2" borderId="0" pivotButton="0" quotePrefix="0" xfId="0"/>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Ethos</author>
  </authors>
  <commentList>
    <comment ref="J1" authorId="0" shapeId="0">
      <text>
        <t>El programador solo pone En proceso o Corregido - por auditar. Cerrado lo pone la auditoría.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Q104"/>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8" customWidth="1" min="3" max="3"/>
    <col width="46" customWidth="1" min="4" max="4"/>
    <col width="18" customWidth="1" min="5" max="5"/>
    <col width="18" customWidth="1" min="6" max="6"/>
    <col width="28" customWidth="1" min="7" max="7"/>
    <col width="70" customWidth="1" min="8" max="8"/>
    <col width="12" customWidth="1" min="9" max="9"/>
    <col width="22" customWidth="1" min="10" max="10"/>
    <col width="50" customWidth="1" min="11" max="11"/>
    <col width="28" customWidth="1" min="12" max="12"/>
    <col width="40" customWidth="1" min="13" max="13"/>
    <col width="13" customWidth="1" min="14" max="14"/>
    <col width="20" customWidth="1" min="15" max="15"/>
    <col width="13" customWidth="1" min="16" max="16"/>
    <col width="50" customWidth="1" min="17" max="17"/>
  </cols>
  <sheetData>
    <row r="1">
      <c r="A1" s="1" t="inlineStr">
        <is>
          <t>ID</t>
        </is>
      </c>
      <c r="B1" s="1" t="inlineStr">
        <is>
          <t>Origen</t>
        </is>
      </c>
      <c r="C1" s="1" t="inlineStr">
        <is>
          <t>Sev.</t>
        </is>
      </c>
      <c r="D1" s="1" t="inlineStr">
        <is>
          <t>Punto</t>
        </is>
      </c>
      <c r="E1" s="1" t="inlineStr">
        <is>
          <t>Tipo</t>
        </is>
      </c>
      <c r="F1" s="1" t="inlineStr">
        <is>
          <t>Responsable</t>
        </is>
      </c>
      <c r="G1" s="1" t="inlineStr">
        <is>
          <t>Módulos</t>
        </is>
      </c>
      <c r="H1" s="1" t="inlineStr">
        <is>
          <t>Criterio de cierre</t>
        </is>
      </c>
      <c r="I1" s="1" t="inlineStr">
        <is>
          <t>Depende de</t>
        </is>
      </c>
      <c r="J1" s="1" t="inlineStr">
        <is>
          <t>Estado</t>
        </is>
      </c>
      <c r="K1" s="1" t="inlineStr">
        <is>
          <t>Qué cambió el programador</t>
        </is>
      </c>
      <c r="L1" s="1" t="inlineStr">
        <is>
          <t>Módulos modificados</t>
        </is>
      </c>
      <c r="M1" s="1" t="inlineStr">
        <is>
          <t>Evidencia / prueba en celda</t>
        </is>
      </c>
      <c r="N1" s="1" t="inlineStr">
        <is>
          <t>Fecha programador</t>
        </is>
      </c>
      <c r="O1" s="1" t="inlineStr">
        <is>
          <t>Resultado auditoría</t>
        </is>
      </c>
      <c r="P1" s="1" t="inlineStr">
        <is>
          <t>Fecha auditoría</t>
        </is>
      </c>
      <c r="Q1" s="1" t="inlineStr">
        <is>
          <t>Nota auditoría</t>
        </is>
      </c>
    </row>
    <row r="2">
      <c r="A2" s="2" t="inlineStr">
        <is>
          <t>G01</t>
        </is>
      </c>
      <c r="B2" s="3" t="inlineStr">
        <is>
          <t>Gestamp #1</t>
        </is>
      </c>
      <c r="C2" s="4" t="inlineStr">
        <is>
          <t>Medio</t>
        </is>
      </c>
      <c r="D2" s="3" t="inlineStr">
        <is>
          <t>Cambiar el nombre del robot
Gestamp: "Robot name needs to change"</t>
        </is>
      </c>
      <c r="E2" s="5" t="inlineStr">
        <is>
          <t>Configuración en celda</t>
        </is>
      </c>
      <c r="F2" s="5" t="inlineStr">
        <is>
          <t>Programador robot (en celda) / Gestamp confirma el formato</t>
        </is>
      </c>
      <c r="G2" s="5" t="inlineStr">
        <is>
          <t>am.ini, C/KRC/Roboter/Rdc/RobotData.xml, $ROBNAME (smartHMI)</t>
        </is>
      </c>
      <c r="H2" s="5" t="inlineStr">
        <is>
          <t>• Formato confirmado por Gestamp por escrito (correo adjunto a la lista).
• En el respaldo, am.ini (RobName) y C/KRC/Roboter/Rdc/RobotData.xml (RobotName) traen el nombre nuevo; el nombre del archivo de respaldo también.
• Si el formato confirmado difiere de BMW-03-10-R1, la línea "; Robot 03-10-R1 (...)" de los encabezados se ajusta igual (C02).</t>
        </is>
      </c>
      <c r="I2" s="5" t="inlineStr">
        <is>
          <t>C02</t>
        </is>
      </c>
      <c r="J2" s="6" t="inlineStr">
        <is>
          <t>Abierto</t>
        </is>
      </c>
      <c r="K2" s="6" t="inlineStr"/>
      <c r="L2" s="6" t="inlineStr"/>
      <c r="M2" s="6" t="inlineStr"/>
      <c r="N2" s="6" t="inlineStr"/>
      <c r="O2" s="7" t="inlineStr">
        <is>
          <t>Estándar Gestamp</t>
        </is>
      </c>
      <c r="P2" s="7" t="inlineStr">
        <is>
          <t>2026-10-11</t>
        </is>
      </c>
      <c r="Q2" s="7" t="inlineStr">
        <is>
          <t>Su robot de referencia se llama NUT07_10R1 (celda 07, estación 10, robot 1); el respaldo Bosch de R20 se llama G65-03-20-R1-PNW1-WC. Hoy el nuestro es BMW_03_10_R1. Por analogía sería NUT03_10R1: confirmar con Gestamp con esos dos ejemplos.</t>
        </is>
      </c>
    </row>
    <row r="3">
      <c r="A3" s="2" t="inlineStr">
        <is>
          <t>G02</t>
        </is>
      </c>
      <c r="B3" s="3" t="inlineStr">
        <is>
          <t>Gestamp #2</t>
        </is>
      </c>
      <c r="C3" s="8" t="inlineStr">
        <is>
          <t>Alto</t>
        </is>
      </c>
      <c r="D3" s="3" t="inlineStr">
        <is>
          <t>Herramienta de seguridad igual al TCP de la herramienta 1
Gestamp: "Safety Tool is not equal to Default TCP"</t>
        </is>
      </c>
      <c r="E3" s="5" t="inlineStr">
        <is>
          <t>Configuración de seguridad</t>
        </is>
      </c>
      <c r="F3" s="5" t="inlineStr">
        <is>
          <t>Programador robot / Seguridad</t>
        </is>
      </c>
      <c r="G3" s="5" t="inlineStr">
        <is>
          <t>C/KRC/Roboter/Config/User/Common/SafetyConfigData.xml, $config.dat (TOOL_DATA[1])</t>
        </is>
      </c>
      <c r="H3" s="5" t="inlineStr">
        <is>
          <t>• Captura de la herramienta de seguridad 1 con el TCP igual a TOOL_DATA[1] del respaldo.
• Checksum nuevo anotado y checklist de aceptación firmado por quien tenga la autorización.</t>
        </is>
      </c>
      <c r="I3" s="5" t="inlineStr">
        <is>
          <t>F42</t>
        </is>
      </c>
      <c r="J3" s="6" t="inlineStr">
        <is>
          <t>Abierto</t>
        </is>
      </c>
      <c r="K3" s="6" t="inlineStr"/>
      <c r="L3" s="6" t="inlineStr"/>
      <c r="M3" s="6" t="inlineStr"/>
      <c r="N3" s="6" t="inlineStr"/>
      <c r="O3" s="7" t="inlineStr">
        <is>
          <t>Estándar Gestamp</t>
        </is>
      </c>
      <c r="P3" s="7" t="inlineStr">
        <is>
          <t>2026-10-11</t>
        </is>
      </c>
      <c r="Q3" s="7" t="inlineStr">
        <is>
          <t>La herramienta de seguridad no se ve en texto en ningún respaldo: sigue la captura del smartHMI.</t>
        </is>
      </c>
    </row>
    <row r="4">
      <c r="A4" s="2" t="inlineStr">
        <is>
          <t>G03</t>
        </is>
      </c>
      <c r="B4" s="3" t="inlineStr">
        <is>
          <t>Gestamp #3</t>
        </is>
      </c>
      <c r="C4" s="8" t="inlineStr">
        <is>
          <t>Alto</t>
        </is>
      </c>
      <c r="D4" s="3" t="inlineStr">
        <is>
          <t>Determinar los datos de carga de la herramienta 1
Gestamp: "Tool 1 is used without Load data determination"</t>
        </is>
      </c>
      <c r="E4" s="5" t="inlineStr">
        <is>
          <t>Prueba en celda</t>
        </is>
      </c>
      <c r="F4" s="5" t="inlineStr">
        <is>
          <t>Programador robot / Puesta en marcha</t>
        </is>
      </c>
      <c r="G4" s="5" t="inlineStr">
        <is>
          <t>$config.dat (LOAD_DATA[1]), KRC/STEU/Mada/$custom.dat ($LDC_CONFIG[1])</t>
        </is>
      </c>
      <c r="H4" s="5" t="inlineStr">
        <is>
          <t>• LOAD_DATA[1] en $config.dat ya no es {M 210, CM {X 270, Y 0, Z 240}, J {105, 105, 105}}: trae masa, centro de masa e inercias determinados.
• Protocolo de Load Data Determination (captura o archivo) con fecha.</t>
        </is>
      </c>
      <c r="I4" s="5" t="inlineStr">
        <is>
          <t>C08, F39, C09</t>
        </is>
      </c>
      <c r="J4" s="6" t="inlineStr">
        <is>
          <t>En proceso</t>
        </is>
      </c>
      <c r="K4" s="6" t="inlineStr"/>
      <c r="L4" s="6" t="inlineStr"/>
      <c r="M4" s="6" t="inlineStr"/>
      <c r="N4" s="6" t="inlineStr"/>
      <c r="O4" s="7" t="inlineStr">
        <is>
          <t>Avance del programador</t>
        </is>
      </c>
      <c r="P4" s="7" t="inlineStr">
        <is>
          <t>2026-10-11</t>
        </is>
      </c>
      <c r="Q4" s="7" t="inlineStr">
        <is>
          <t>Respaldo del 10/10 (versión de oficina del 05/10 cargada + cambios suyos del 06 al 10/10). LOAD_DATA[1] = 67.28 kg con centro de masa (-2.62, 17.93, 219.18) e inercias: ya no es el tecleado de 210 kg. Falta la evidencia de Load Data Determination (captura o protocolo). LOAD_A3_DATA pasó de 30 a 50 kg.</t>
        </is>
      </c>
    </row>
    <row r="5">
      <c r="A5" s="9" t="inlineStr">
        <is>
          <t>G04</t>
        </is>
      </c>
      <c r="B5" s="10" t="inlineStr">
        <is>
          <t>Gestamp #4</t>
        </is>
      </c>
      <c r="C5" s="11" t="inlineStr">
        <is>
          <t>Bajo</t>
        </is>
      </c>
      <c r="D5" s="10" t="inlineStr">
        <is>
          <t>Programa RedRabbit bloqueado: borrado
Gestamp: "Program Red Rabbit() is blocked, might be an unnecessary copy"</t>
        </is>
      </c>
      <c r="E5" s="10" t="inlineStr">
        <is>
          <t>Código</t>
        </is>
      </c>
      <c r="F5" s="10" t="inlineStr">
        <is>
          <t>Programador robot (prueba en celda)</t>
        </is>
      </c>
      <c r="G5" s="10" t="inlineStr">
        <is>
          <t>KRC/R1/Program/Utilities/redrabbit.src, KRC/R1/Program/Utilities/RedRabbit.dat</t>
        </is>
      </c>
      <c r="H5" s="10" t="inlineStr">
        <is>
          <t>• En el respaldo no están KRC/R1/Program/Utilities/redrabbit.src ni RedRabbit.dat (borrados también en el controlador).
• El programa carga sin errores de compilación (captura del navegador del smartPAD sin módulos en rojo). Un ciclo red rabbit (option 12) corre igual que antes de la carga (sus defectos siguen en F19). Anotar fecha.</t>
        </is>
      </c>
      <c r="I5" s="10" t="inlineStr">
        <is>
          <t>G05</t>
        </is>
      </c>
      <c r="J5" s="10" t="inlineStr">
        <is>
          <t>Se cierra con otro punto</t>
        </is>
      </c>
      <c r="K5" s="10" t="inlineStr"/>
      <c r="L5" s="10" t="inlineStr"/>
      <c r="M5" s="10" t="inlineStr"/>
      <c r="N5" s="10" t="inlineStr"/>
      <c r="O5" s="10" t="inlineStr">
        <is>
          <t>Cambio de base</t>
        </is>
      </c>
      <c r="P5" s="10" t="inlineStr">
        <is>
          <t>2026-10-11</t>
        </is>
      </c>
      <c r="Q5" s="10" t="inlineStr">
        <is>
          <t>Base = programa del programador (respaldo del 2026-10-05 14:46). redrabbit.src y RedRabbit.dat siguen en el controlador: son módulos sobrantes y se siguen solo en G05.</t>
        </is>
      </c>
    </row>
    <row r="6">
      <c r="A6" s="2" t="inlineStr">
        <is>
          <t>G05</t>
        </is>
      </c>
      <c r="B6" s="3" t="inlineStr">
        <is>
          <t>Gestamp #5</t>
        </is>
      </c>
      <c r="C6" s="12" t="inlineStr">
        <is>
          <t>Bajo</t>
        </is>
      </c>
      <c r="D6" s="3" t="inlineStr">
        <is>
          <t>Programas sin uso
Gestamp: "Unused programs"</t>
        </is>
      </c>
      <c r="E6" s="5" t="inlineStr">
        <is>
          <t>Código + configuración</t>
        </is>
      </c>
      <c r="F6" s="5" t="inlineStr">
        <is>
          <t>Programador robot / Gestamp controles</t>
        </is>
      </c>
      <c r="G6" s="5" t="inlineStr">
        <is>
          <t>KRC/R1/Program/Centerline/centerline_loop.src, KRC/R1/safetest.src, KRC/R1/Program/MoveToPurge.src, KRC/R1/TP/GLUETECH, 11 módulos borrados por la depuración (tools/cleanup_allowlist)</t>
        </is>
      </c>
      <c r="H6" s="5" t="inlineStr">
        <is>
          <t>• Con la celda probada al 100 %: los módulos sobrantes de la lista ya no están en el respaldo (borrados en el controlador: un restore no borra archivos).
• safetest: decisión de Gestamp anotada en la lista; si se borra, no está en el respaldo; si se queda, su encabezado dice para qué prueba es y quién la usa.
• GlueTech desinstalado: no aparece en la lista de paquetes del smartHMI, y ni KRC/R1/TP/GLUETECH ni Program/MoveToPurge.src están en el respaldo.
• El programa carga sin errores de compilación (captura del navegador del smartPAD sin módulos en rojo). Un ciclo completo en automático sale bien. Anotar fecha.</t>
        </is>
      </c>
      <c r="I6" s="5" t="inlineStr">
        <is>
          <t>G04, C28</t>
        </is>
      </c>
      <c r="J6" s="6" t="inlineStr">
        <is>
          <t>Abierto</t>
        </is>
      </c>
      <c r="K6" s="6" t="inlineStr"/>
      <c r="L6" s="6" t="inlineStr"/>
      <c r="M6" s="6" t="inlineStr"/>
      <c r="N6" s="6" t="inlineStr"/>
      <c r="O6" s="7" t="inlineStr">
        <is>
          <t>Avance del programador</t>
        </is>
      </c>
      <c r="P6" s="7" t="inlineStr">
        <is>
          <t>2026-10-11</t>
        </is>
      </c>
      <c r="Q6" s="7" t="inlineStr">
        <is>
          <t>Respaldo del 10/10 (versión de oficina del 05/10 cargada + cambios suyos del 06 al 10/10). Borró 8 módulos sobrantes (14 archivos). Quedan capchange, electrodechange, redrabbit (no compila) y POUNCE.</t>
        </is>
      </c>
    </row>
    <row r="7">
      <c r="A7" s="2" t="inlineStr">
        <is>
          <t>G06</t>
        </is>
      </c>
      <c r="B7" s="3" t="inlineStr">
        <is>
          <t>Gestamp #6</t>
        </is>
      </c>
      <c r="C7" s="4" t="inlineStr">
        <is>
          <t>Medio</t>
        </is>
      </c>
      <c r="D7" s="3" t="inlineStr">
        <is>
          <t>Cambio de electrodo: confirmación de 0.1 s y sin handshake
Gestamp: "Electrode change confirmation only 0.1 s, no handshake"</t>
        </is>
      </c>
      <c r="E7" s="5" t="inlineStr">
        <is>
          <t>Decisión + código</t>
        </is>
      </c>
      <c r="F7" s="5" t="inlineStr">
        <is>
          <t>Programador robot / Gestamp controles</t>
        </is>
      </c>
      <c r="G7" s="5" t="inlineStr">
        <is>
          <t>KRC/R1/Program/Utilities/gunelectrodechange.src, KRC/R1/cell.src</t>
        </is>
      </c>
      <c r="H7" s="5" t="inlineStr">
        <is>
          <t>• Se cumplen los criterios de F43.</t>
        </is>
      </c>
      <c r="I7" s="5" t="inlineStr">
        <is>
          <t>F43, F12</t>
        </is>
      </c>
      <c r="J7" s="6" t="inlineStr">
        <is>
          <t>Requiere decisión</t>
        </is>
      </c>
      <c r="K7" s="6" t="inlineStr"/>
      <c r="L7" s="6" t="inlineStr"/>
      <c r="M7" s="6" t="inlineStr"/>
      <c r="N7" s="6" t="inlineStr"/>
      <c r="O7" s="7" t="inlineStr">
        <is>
          <t>Estándar Gestamp</t>
        </is>
      </c>
      <c r="P7" s="7" t="inlineStr">
        <is>
          <t>2026-10-11</t>
        </is>
      </c>
      <c r="Q7" s="7" t="inlineStr">
        <is>
          <t>Respaldo del 10/10 (versión de oficina del 05/10 cargada + cambios suyos del 06 al 10/10). sps.sub escribe do111Gun1ElectrodeChange = dipw1_EndOfStepper y el estado del stepper al PLC, y cell.src llama GunElectrodeChange con do111, como el respaldo de Gestamp. Depende de que Gestamp resetee el stepper en el Bosch.</t>
        </is>
      </c>
    </row>
    <row r="8">
      <c r="A8" s="2" t="inlineStr">
        <is>
          <t>G07</t>
        </is>
      </c>
      <c r="B8" s="3" t="inlineStr">
        <is>
          <t>Gestamp #7</t>
        </is>
      </c>
      <c r="C8" s="8" t="inlineStr">
        <is>
          <t>Alto</t>
        </is>
      </c>
      <c r="D8" s="3" t="inlineStr">
        <is>
          <t>Options 1, 2, 7 y 8 de Style_1 llaman el mismo programa
Gestamp: "Multiple options in Style_1 call the same sub-program"</t>
        </is>
      </c>
      <c r="E8" s="5" t="inlineStr">
        <is>
          <t>Decisión Gestamp + código</t>
        </is>
      </c>
      <c r="F8" s="5" t="inlineStr">
        <is>
          <t>Gestamp controles / Programador robot</t>
        </is>
      </c>
      <c r="G8" s="5" t="inlineStr">
        <is>
          <t>KRC/R1/Program/Styles/style_1.src, KRC/R1/Program/Styles/Options/style1opt1.src, KRC/R1/Program/StyleApps/Options/style1app2opt1.src, KRC/R1/Program/StyleApps/Options/style1app2opt2.src</t>
        </is>
      </c>
      <c r="H8" s="5" t="inlineStr">
        <is>
          <t>• Definición de options por escrito de Gestamp.
• Se cumplen los criterios de F02.
• Comentarios del código cambiado según docs/CONVENTIONS.md (inglés, señal con dirección y nombre); ningún encabezado de inline form ni línea dentro de un fold de form cambia sin estar declarado (F32, F21, F31).</t>
        </is>
      </c>
      <c r="I8" s="5" t="inlineStr">
        <is>
          <t>F02</t>
        </is>
      </c>
      <c r="J8" s="6" t="inlineStr">
        <is>
          <t>Requiere decisión</t>
        </is>
      </c>
      <c r="K8" s="6" t="inlineStr"/>
      <c r="L8" s="6" t="inlineStr"/>
      <c r="M8" s="6" t="inlineStr"/>
      <c r="N8" s="6" t="inlineStr"/>
      <c r="O8" s="7" t="inlineStr">
        <is>
          <t>Estándar Gestamp</t>
        </is>
      </c>
      <c r="P8" s="7" t="inlineStr">
        <is>
          <t>2026-10-11</t>
        </is>
      </c>
      <c r="Q8" s="7" t="inlineStr">
        <is>
          <t>Gestamp usa un option por estación de pick (1 = estación 1, 2 = estación 2, 10 = red rabbit), cada uno con su programa Style1OptN. El nuestro manda 1, 2, 7 y 8 a Style1Opt1 (la estación la decide di065/di066) y 12 al red rabbit. Se cambia o lo acepta Gestamp (igual que R20).</t>
        </is>
      </c>
    </row>
    <row r="9">
      <c r="A9" s="9" t="inlineStr">
        <is>
          <t>G08</t>
        </is>
      </c>
      <c r="B9" s="10" t="inlineStr">
        <is>
          <t>Gestamp #8</t>
        </is>
      </c>
      <c r="C9" s="13" t="inlineStr">
        <is>
          <t>Alto</t>
        </is>
      </c>
      <c r="D9" s="10" t="inlineStr">
        <is>
          <t>El ciclo red rabbit no sigue el camino de producción
Gestamp: "Separate Auto-Red Rabbit program that doesn't match production"</t>
        </is>
      </c>
      <c r="E9" s="10" t="inlineStr">
        <is>
          <t>Decisión + código</t>
        </is>
      </c>
      <c r="F9" s="10" t="inlineStr">
        <is>
          <t>Gestamp controles / Programador robot</t>
        </is>
      </c>
      <c r="G9" s="10" t="inlineStr">
        <is>
          <t>KRC/R1/Program/Styles/Options/Style1Opt10AutoRR.src, KRC/R1/Program/StylePicks/Options/style1pick1opt1AutoRR.src, KRC/R1/Program/StyleDrops/Options/style1drop1opt2AutoRR.src</t>
        </is>
      </c>
      <c r="H9" s="10" t="inlineStr">
        <is>
          <t>• Procedimiento red rabbit de Gestamp por escrito.
• Se cumplen los criterios de F19.
• Comentarios del código cambiado según docs/CONVENTIONS.md (inglés, señal con dirección y nombre); ningún encabezado de inline form ni línea dentro de un fold de form cambia sin estar declarado (F32, F21, F31).</t>
        </is>
      </c>
      <c r="I9" s="10" t="inlineStr">
        <is>
          <t>F19, G21</t>
        </is>
      </c>
      <c r="J9" s="10" t="inlineStr">
        <is>
          <t>Aceptado sin cambio</t>
        </is>
      </c>
      <c r="K9" s="10" t="inlineStr"/>
      <c r="L9" s="10" t="inlineStr"/>
      <c r="M9" s="10" t="inlineStr"/>
      <c r="N9" s="10" t="inlineStr"/>
      <c r="O9" s="10" t="inlineStr">
        <is>
          <t>Estándar Gestamp</t>
        </is>
      </c>
      <c r="P9" s="10" t="inlineStr">
        <is>
          <t>2026-10-11</t>
        </is>
      </c>
      <c r="Q9" s="10" t="inlineStr">
        <is>
          <t>El red rabbit de Gestamp (Style1Opt10AutoRR) tiene pick y drop propios y usa el nut check de producción. El nuestro tiene la misma estructura y además corre la cámara. Aceptado sin cambio (igual que R20); el cierre final lo acepta Gestamp. El resultado sigue en G21/F19.</t>
        </is>
      </c>
    </row>
    <row r="10">
      <c r="A10" s="9" t="inlineStr">
        <is>
          <t>G09</t>
        </is>
      </c>
      <c r="B10" s="10" t="inlineStr">
        <is>
          <t>Gestamp #9</t>
        </is>
      </c>
      <c r="C10" s="14" t="inlineStr">
        <is>
          <t>Medio</t>
        </is>
      </c>
      <c r="D10" s="10" t="inlineStr">
        <is>
          <t>Pieza en gripper al PLC fijada por programa, no por los sensores
Gestamp: "Part control to PLC is set/reset instead of reflecting the real part controls"</t>
        </is>
      </c>
      <c r="E10" s="10" t="inlineStr">
        <is>
          <t>Decisión + código</t>
        </is>
      </c>
      <c r="F10" s="10" t="inlineStr">
        <is>
          <t>Programador robot / Gestamp controles</t>
        </is>
      </c>
      <c r="G10" s="10"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KRC/R1/System/sps.sub</t>
        </is>
      </c>
      <c r="H10" s="10" t="inlineStr">
        <is>
          <t>• $OUT[18] se escribe en un solo lugar, a partir de di253/di254; los inline forms OUT 18 de picks, drops y RejectGE4 ya no están.
• Prueba: quitar la pieza a mano del gripper en T1 → $OUT[18] OFF de inmediato; con la pieza tomada → ON. Anotar fecha.
• Comentarios del código cambiado según docs/CONVENTIONS.md (inglés, señal con dirección y nombre); ningún encabezado de inline form ni línea dentro de un fold de form cambia sin estar declarado (F32, F21, F31).</t>
        </is>
      </c>
      <c r="I10" s="10" t="inlineStr">
        <is>
          <t>F12, C01, C16</t>
        </is>
      </c>
      <c r="J10" s="10" t="inlineStr">
        <is>
          <t>Aceptado sin cambio</t>
        </is>
      </c>
      <c r="K10" s="10" t="inlineStr"/>
      <c r="L10" s="10" t="inlineStr"/>
      <c r="M10" s="10" t="inlineStr"/>
      <c r="N10" s="10" t="inlineStr"/>
      <c r="O10" s="10" t="inlineStr">
        <is>
          <t>Estándar Gestamp</t>
        </is>
      </c>
      <c r="P10" s="10" t="inlineStr">
        <is>
          <t>2026-10-11</t>
        </is>
      </c>
      <c r="Q10" s="10" t="inlineStr">
        <is>
          <t>Gestamp pone y quita $OUT[18] con inline forms OUT en pick, drop y reject; el nuestro igual (picks, drop al conveyor, drop red rabbit y RejectGE4). Aceptado sin cambio (igual que R20); el cierre final lo acepta Gestamp.</t>
        </is>
      </c>
    </row>
    <row r="11">
      <c r="A11" s="9" t="inlineStr">
        <is>
          <t>G10</t>
        </is>
      </c>
      <c r="B11" s="10" t="inlineStr">
        <is>
          <t>Gestamp #10</t>
        </is>
      </c>
      <c r="C11" s="14" t="inlineStr">
        <is>
          <t>Medio</t>
        </is>
      </c>
      <c r="D11" s="10" t="inlineStr">
        <is>
          <t>Comandos de gripper GripperTech en todos los movimientos de gripper
Gestamp: "Gripper commands not used at all times"</t>
        </is>
      </c>
      <c r="E11" s="10" t="inlineStr">
        <is>
          <t>Código + prueba en celda</t>
        </is>
      </c>
      <c r="F11" s="10" t="inlineStr">
        <is>
          <t>Programador robot / Puesta en marcha</t>
        </is>
      </c>
      <c r="G11" s="10"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 C/KRC/User/TP/Gripper_SpotTech/GripperConfig.xml</t>
        </is>
      </c>
      <c r="H11" s="10" t="inlineStr">
        <is>
          <t>• Se cumplen los criterios de F31 y F33.
• Prueba en el smartPAD: abrir y confirmar (Cmd OK) un form Gripper SET de un pick y el del drop al conveyor sin cambiar nada; en el respaldo siguiente la llamada sigue siendo GRPg_SetStateAndCheck(1, ...) con el mismo estado. Un ciclo completo en automático de estación 1 y de estación 2. Anotar fecha.</t>
        </is>
      </c>
      <c r="I11" s="10" t="inlineStr">
        <is>
          <t>F31, F33</t>
        </is>
      </c>
      <c r="J11" s="10" t="inlineStr">
        <is>
          <t>Se cierra con otro punto</t>
        </is>
      </c>
      <c r="K11" s="10" t="inlineStr"/>
      <c r="L11" s="10" t="inlineStr"/>
      <c r="M11" s="10" t="inlineStr"/>
      <c r="N11" s="10" t="inlineStr"/>
      <c r="O11" s="10" t="inlineStr">
        <is>
          <t>Estándar Gestamp</t>
        </is>
      </c>
      <c r="P11" s="10" t="inlineStr">
        <is>
          <t>2026-10-11</t>
        </is>
      </c>
      <c r="Q11" s="10" t="inlineStr">
        <is>
          <t>Gestamp usa GRPg_SetStateAndCheck / GRPg_Check en pick, drop y reject. El nuestro ya los usa en los 3 picks, el drop al conveyor, el drop red rabbit y RejectGE4, sin salidas de gripper escritas a mano. Queda F31 (el drop red rabbit suelta con el gripper 3) y F33.</t>
        </is>
      </c>
    </row>
    <row r="12">
      <c r="A12" s="9" t="inlineStr">
        <is>
          <t>G11</t>
        </is>
      </c>
      <c r="B12" s="10" t="inlineStr">
        <is>
          <t>Gestamp #11</t>
        </is>
      </c>
      <c r="C12" s="14" t="inlineStr">
        <is>
          <t>Medio</t>
        </is>
      </c>
      <c r="D12" s="10" t="inlineStr">
        <is>
          <t>Sin GOTO ni etiquetas
Gestamp: "Use of Goto labels"</t>
        </is>
      </c>
      <c r="E12" s="10" t="inlineStr">
        <is>
          <t>Código + prueba en celda</t>
        </is>
      </c>
      <c r="F12" s="10" t="inlineStr">
        <is>
          <t>Programador robot (prueba en celda)</t>
        </is>
      </c>
      <c r="G12" s="10" t="inlineStr">
        <is>
          <t>KRC/R1/Program/Centerline/centerline_weld.src, KRC/R1/Program/StyleApps/Options/style1app1opt1.src, KRC/R1/Program/StyleApps/Options/style1app1opt2.src, KRC/R1/Program/StyleApps/Options/style1app1opt3.src, KRC/R1/Program/StyleApps/Options/style1app2opt1.src, KRC/R1/Program/StylePicks/Options/style1pick1opt1.src, KRC/R1/Program/StylePicks/Options/style1pick1opt2.src, KRC/R1/Program/StylePicks/Options/style1pick1opt1AutoRR.src, KRC/R1/Program/Styles/Options/style1opt1.src</t>
        </is>
      </c>
      <c r="H12" s="10" t="inlineStr">
        <is>
          <t>• En el respaldo ningún módulo del integrador (KRC/R1/Program, KRC/R1/cell.src, sps.sub) tiene GOTO ni etiquetas.
• Prueba en celda: un ciclo sin dry cycle de estación 1 y uno de estación 2 (T1 y automático), un rechazo por nut check (option 1), un ciclo red rabbit (option 12), un pick en dry cycle (sin espera de pieza; el ciclo se sigue colgando en la primera weld app por F04, igual que antes) y el timeout de gun cerrado en T1 sin tuerca (HALT, START: vuelve a dar timeout si sigue sin cerrar). Anotar fecha y resultado de cada uno.</t>
        </is>
      </c>
      <c r="I12" s="10" t="inlineStr">
        <is>
          <t>F30, F07</t>
        </is>
      </c>
      <c r="J12" s="10" t="inlineStr">
        <is>
          <t>Cerrado - auditado</t>
        </is>
      </c>
      <c r="K12" s="10" t="inlineStr"/>
      <c r="L12" s="10" t="inlineStr"/>
      <c r="M12" s="10" t="inlineStr"/>
      <c r="N12" s="10" t="inlineStr"/>
      <c r="O12" s="10" t="inlineStr">
        <is>
          <t>Cerrado - auditado</t>
        </is>
      </c>
      <c r="P12" s="10" t="inlineStr">
        <is>
          <t>2026-10-11</t>
        </is>
      </c>
      <c r="Q12" s="10" t="inlineStr">
        <is>
          <t>Respaldo del 10/10 (versión de oficina del 05/10 cargada + cambios suyos del 06 al 10/10). Sin GOTO ni etiquetas en ningún módulo activo (solo quedaban en trigger1-3, que ya borró).</t>
        </is>
      </c>
    </row>
    <row r="13">
      <c r="A13" s="9" t="inlineStr">
        <is>
          <t>G12</t>
        </is>
      </c>
      <c r="B13" s="10" t="inlineStr">
        <is>
          <t>Gestamp #12</t>
        </is>
      </c>
      <c r="C13" s="14" t="inlineStr">
        <is>
          <t>Medio</t>
        </is>
      </c>
      <c r="D13" s="10" t="inlineStr">
        <is>
          <t>Nombres de señal en lugar de números de E/S
Gestamp: "Use of I/O numbers instead of signal names"</t>
        </is>
      </c>
      <c r="E13" s="10" t="inlineStr">
        <is>
          <t>Código + prueba en celda</t>
        </is>
      </c>
      <c r="F13" s="10" t="inlineStr">
        <is>
          <t>Programador robot (prueba en celda)</t>
        </is>
      </c>
      <c r="G13" s="10" t="inlineStr">
        <is>
          <t>KRC/R1/Program/Centerline/centerline_weld.src, KRC/R1/Program/Centerline/PRELOAD.src, KRC/R1/Program/Centerline/CENTERLINE_HOME.src, KRC/R1/System/sps.sub, KRC/R1/TP/AutomationCore/automationcoreroutines.dat, KRC/R1/System/$config.dat</t>
        </is>
      </c>
      <c r="H13" s="10" t="inlineStr">
        <is>
          <t>• En el respaldo ninguna línea ejecutable del integrador fuera de un inline form KUKA usa $IN[n]/$OUT[n] literal (la auditoría lo revisa).
• El programa carga sin errores de compilación (captura del navegador del smartPAD sin módulos en rojo). Un ciclo completo en automático sale bien. Anotar fecha.</t>
        </is>
      </c>
      <c r="I13" s="10" t="inlineStr">
        <is>
          <t>F17, C23, F29</t>
        </is>
      </c>
      <c r="J13" s="10" t="inlineStr">
        <is>
          <t>Cerrado - auditado</t>
        </is>
      </c>
      <c r="K13" s="10" t="inlineStr"/>
      <c r="L13" s="10" t="inlineStr"/>
      <c r="M13" s="10" t="inlineStr"/>
      <c r="N13" s="10" t="inlineStr"/>
      <c r="O13" s="10" t="inlineStr">
        <is>
          <t>Cerrado - auditado</t>
        </is>
      </c>
      <c r="P13" s="10" t="inlineStr">
        <is>
          <t>2026-10-11</t>
        </is>
      </c>
      <c r="Q13" s="10" t="inlineStr">
        <is>
          <t>Respaldo del 10/10 (versión de oficina del 05/10 cargada + cambios suyos del 06 al 10/10). Sin $IN/$OUT con número fuera de inline forms en los módulos activos: el pedestal usa los nombres de la versión de oficina (do498..do505, di466, di467, di470).</t>
        </is>
      </c>
    </row>
    <row r="14">
      <c r="A14" s="9" t="inlineStr">
        <is>
          <t>G13</t>
        </is>
      </c>
      <c r="B14" s="10" t="inlineStr">
        <is>
          <t>Gestamp #13</t>
        </is>
      </c>
      <c r="C14" s="14" t="inlineStr">
        <is>
          <t>Medio</t>
        </is>
      </c>
      <c r="D14" s="10" t="inlineStr">
        <is>
          <t>Código simplificado (nut present en una línea, duplicados fuera)
Gestamp: "Poor programming (10 lines for nut present)"</t>
        </is>
      </c>
      <c r="E14" s="10" t="inlineStr">
        <is>
          <t>Código + prueba en celda</t>
        </is>
      </c>
      <c r="F14" s="10" t="inlineStr">
        <is>
          <t>Programador robot (prueba en celda)</t>
        </is>
      </c>
      <c r="G14" s="10" t="inlineStr">
        <is>
          <t>KRC/R1/Program/StyleApps/Options/style1app2opt1.src, KRC/R1/Program/Centerline/centerline_weld.src, KRC/R1/Program/StylePicks/Options/style1pick1opt1.src, KRC/R1/Program/StylePicks/Options/style1pick1opt2.src, KRC/R1/Program/StylePicks/Options/style1pick1opt1AutoRR.src, KRC/R1/Program/StyleDrops/Options/style1drop1opt1.src, KRC/R1/Program/Utilities/RejectGE4.src</t>
        </is>
      </c>
      <c r="H14" s="10" t="inlineStr">
        <is>
          <t>• Prueba en automático con option 1: 5 ciclos con pieza buena sin rechazo por tuercas; un ciclo con una tuerca faltante (o una pieza red rabbit) termina en RejectGE4; PARTPRESENT1..3 leídos en el display de variables. En cada pick, drop y reject el gripper confirma su estado con GRPg_SetStateAndCheck, sin el GRPg_Check extra. Anotar fecha y resultado.</t>
        </is>
      </c>
      <c r="I14" s="10" t="inlineStr">
        <is>
          <t>F28, F03, F31</t>
        </is>
      </c>
      <c r="J14" s="10" t="inlineStr">
        <is>
          <t>Cerrado - auditado</t>
        </is>
      </c>
      <c r="K14" s="10" t="inlineStr"/>
      <c r="L14" s="10" t="inlineStr"/>
      <c r="M14" s="10" t="inlineStr"/>
      <c r="N14" s="10" t="inlineStr"/>
      <c r="O14" s="10" t="inlineStr">
        <is>
          <t>Cerrado - auditado</t>
        </is>
      </c>
      <c r="P14" s="10" t="inlineStr">
        <is>
          <t>2026-10-11</t>
        </is>
      </c>
      <c r="Q14" s="10" t="inlineStr">
        <is>
          <t>Respaldo del 10/10 (versión de oficina del 05/10 cargada + cambios suyos del 06 al 10/10). Nut check como Gestamp: WAIT SEC 0.2 y después PARTPRESENTn = di227NutPresent1 (style1app2opt1.src:65-68, igual en las 3 tuercas).</t>
        </is>
      </c>
    </row>
    <row r="15">
      <c r="A15" s="9" t="inlineStr">
        <is>
          <t>G14</t>
        </is>
      </c>
      <c r="B15" s="10" t="inlineStr">
        <is>
          <t>Gestamp #14</t>
        </is>
      </c>
      <c r="C15" s="14" t="inlineStr">
        <is>
          <t>Medio</t>
        </is>
      </c>
      <c r="D15" s="10" t="inlineStr">
        <is>
          <t>Revisar gripper vacío antes del comando de gripper
Gestamp: "Gripper opened before the part control check"</t>
        </is>
      </c>
      <c r="E15" s="10" t="inlineStr">
        <is>
          <t>Código + prueba en celda</t>
        </is>
      </c>
      <c r="F15" s="10" t="inlineStr">
        <is>
          <t>Programador robot (prueba en celda)</t>
        </is>
      </c>
      <c r="G15" s="10" t="inlineStr">
        <is>
          <t>KRC/R1/Program/StylePicks/Options/style1pick1opt1.src, KRC/R1/Program/StylePicks/Options/style1pick1opt2.src, KRC/R1/Program/StylePicks/Options/style1pick1opt1AutoRR.src</t>
        </is>
      </c>
      <c r="H15" s="10" t="inlineStr">
        <is>
          <t>• En los tres picks la espera de gripper vacío está antes del primer comando de gripper.
• Prueba en T1: con una pieza en el gripper al iniciar el pick, el robot se queda en la espera sin mover el gripper. Anotar fecha.</t>
        </is>
      </c>
      <c r="I15" s="10" t="inlineStr"/>
      <c r="J15" s="10" t="inlineStr">
        <is>
          <t>Cerrado - auditado</t>
        </is>
      </c>
      <c r="K15" s="10" t="inlineStr"/>
      <c r="L15" s="10" t="inlineStr"/>
      <c r="M15" s="10" t="inlineStr"/>
      <c r="N15" s="10" t="inlineStr"/>
      <c r="O15" s="10" t="inlineStr">
        <is>
          <t>Cerrado - auditado</t>
        </is>
      </c>
      <c r="P15" s="10" t="inlineStr">
        <is>
          <t>2026-10-11</t>
        </is>
      </c>
      <c r="Q15" s="10" t="inlineStr">
        <is>
          <t>Respaldo del 10/10 (versión de oficina del 05/10 cargada + cambios suyos del 06 al 10/10). En los picks la espera de gripper vacío va antes del primer GRPg_SetStateAndCheck (style1pick1opt1.src:37 y :46).</t>
        </is>
      </c>
    </row>
    <row r="16">
      <c r="A16" s="9" t="inlineStr">
        <is>
          <t>G15</t>
        </is>
      </c>
      <c r="B16" s="10" t="inlineStr">
        <is>
          <t>Gestamp #15</t>
        </is>
      </c>
      <c r="C16" s="11" t="inlineStr">
        <is>
          <t>Bajo</t>
        </is>
      </c>
      <c r="D16" s="10" t="inlineStr">
        <is>
          <t>Nombres, variables y comentarios en inglés
Gestamp: "Names, variables and comments not in English"</t>
        </is>
      </c>
      <c r="E16" s="10" t="inlineStr">
        <is>
          <t>Código</t>
        </is>
      </c>
      <c r="F16" s="10" t="inlineStr">
        <is>
          <t>Programador robot (prueba en celda)</t>
        </is>
      </c>
      <c r="G16" s="10" t="inlineStr">
        <is>
          <t>KRC/R1/TP/AutomationCore/automationcoreroutines.dat, KRC/R1/System/$config.dat, KRC/R1/Program/Centerline/PRELOAD.src, KRC/R1/Program/Centerline/Request_next_nut.src, KRC/R1/Program/StylePicks/Options/style1pick1opt1.src, KRC/R1/Program/StylePicks/Options/style1pick1opt2.src, KRC/R1/Program/StylePicks/Options/style1pick1opt1AutoRR.src, KRC/R1/Program/StyleApps/Options/style1app2opt1.src, KRC/R1/Program/StyleApps/Options/style1app2opt2.src, KRC/R1/Program/Styles/Options/style1opt1.src, KRC/R1/Program/Styles/Options/Style1Opt10AutoRR.src, KRC/R1/Program/Utilities/RejectGE4.src</t>
        </is>
      </c>
      <c r="H16" s="10" t="inlineStr">
        <is>
          <t>• La auditoría no encuentra comentarios en español ni los nombres viejos (NUT_STAR, Judment, Rejeted, di227SensorCamera) en código ejecutable ni en declaraciones del respaldo.
• En el controlador ya no existe la carpeta KRC/R1/Program/Styles/optiones: style1opt1 y Style1Opt10AutoRR están solo en Styles/Options (la carpeta vieja se borra a mano; si queda, hay dos módulos con el mismo nombre).
• El programa carga sin errores de compilación (captura del navegador del smartPAD sin módulos en rojo). Un ciclo completo en automático sale bien. Anotar fecha.</t>
        </is>
      </c>
      <c r="I16" s="10" t="inlineStr">
        <is>
          <t>C26, F36</t>
        </is>
      </c>
      <c r="J16" s="10" t="inlineStr">
        <is>
          <t>Cerrado - auditado</t>
        </is>
      </c>
      <c r="K16" s="10" t="inlineStr"/>
      <c r="L16" s="10" t="inlineStr"/>
      <c r="M16" s="10" t="inlineStr"/>
      <c r="N16" s="10" t="inlineStr"/>
      <c r="O16" s="10" t="inlineStr">
        <is>
          <t>Cerrado - auditado</t>
        </is>
      </c>
      <c r="P16" s="10" t="inlineStr">
        <is>
          <t>2026-10-11</t>
        </is>
      </c>
      <c r="Q16" s="10" t="inlineStr">
        <is>
          <t>Respaldo del 10/10 (versión de oficina del 05/10 cargada + cambios suyos del 06 al 10/10). Nombres corregidos (CameraJudgment, PartRejected, di227NutPresent1, NUT_START). Quedan la carpeta Styles/optiones y el texto del encabezado de dos forms OUT 106: errores de dedo, no impiden el cierre (como NUT_STAR en R20).</t>
        </is>
      </c>
    </row>
    <row r="17">
      <c r="A17" s="9" t="inlineStr">
        <is>
          <t>G16</t>
        </is>
      </c>
      <c r="B17" s="10" t="inlineStr">
        <is>
          <t>Gestamp #16</t>
        </is>
      </c>
      <c r="C17" s="14" t="inlineStr">
        <is>
          <t>Medio</t>
        </is>
      </c>
      <c r="D17" s="10" t="inlineStr">
        <is>
          <t>Constantes para límites de carrera, presiones y tiempos
Gestamp: "NO variables for e.g. stroke limits"</t>
        </is>
      </c>
      <c r="E17" s="10" t="inlineStr">
        <is>
          <t>Código + prueba en celda</t>
        </is>
      </c>
      <c r="F17" s="10" t="inlineStr">
        <is>
          <t>Programador robot (prueba en celda)</t>
        </is>
      </c>
      <c r="G17" s="10" t="inlineStr">
        <is>
          <t>KRC/R1/System/$config.dat, KRC/R1/Program/Centerline/centerline_weld.src, KRC/R1/Program/Centerline/CENTERLINE_HOME.src</t>
        </is>
      </c>
      <c r="H17" s="10" t="inlineStr">
        <is>
          <t>• No quedan esos números en líneas ejecutables de CENTERLINE_WELD / CENTERLINE_HOME.
• Un ciclo de soldadura completo en automático; valores leídos en el display de variables iguales a los del fold CENTERLINE CONTROL. Anotar fecha.</t>
        </is>
      </c>
      <c r="I17" s="10" t="inlineStr">
        <is>
          <t>F16, F44, F41</t>
        </is>
      </c>
      <c r="J17" s="10" t="inlineStr">
        <is>
          <t>Cerrado - auditado</t>
        </is>
      </c>
      <c r="K17" s="10" t="inlineStr"/>
      <c r="L17" s="10" t="inlineStr"/>
      <c r="M17" s="10" t="inlineStr"/>
      <c r="N17" s="10" t="inlineStr"/>
      <c r="O17" s="10" t="inlineStr">
        <is>
          <t>Cerrado - auditado</t>
        </is>
      </c>
      <c r="P17" s="10" t="inlineStr">
        <is>
          <t>2026-10-11</t>
        </is>
      </c>
      <c r="Q17" s="10" t="inlineStr">
        <is>
          <t>Respaldo del 10/10 (versión de oficina del 05/10 cargada + cambios suyos del 06 al 10/10). CENTERLINE_WELD y CENTERLINE_HOME usan las constantes de $config.dat (ventana, tiempos, presiones, programa Bosch).</t>
        </is>
      </c>
    </row>
    <row r="18">
      <c r="A18" s="9" t="inlineStr">
        <is>
          <t>G17</t>
        </is>
      </c>
      <c r="B18" s="10" t="inlineStr">
        <is>
          <t>Gestamp #17</t>
        </is>
      </c>
      <c r="C18" s="11" t="inlineStr">
        <is>
          <t>Bajo</t>
        </is>
      </c>
      <c r="D18" s="10" t="inlineStr">
        <is>
          <t>Lógica Nut_weld_Retry inútil
Gestamp: "Nut_weld_Retry logic useless"</t>
        </is>
      </c>
      <c r="E18" s="10" t="inlineStr">
        <is>
          <t>Código</t>
        </is>
      </c>
      <c r="F18" s="10" t="inlineStr">
        <is>
          <t>Programador robot (prueba en celda)</t>
        </is>
      </c>
      <c r="G18" s="10" t="inlineStr">
        <is>
          <t>KRC/R1/Program/StyleApps/Options/style1app1opt1.src, KRC/R1/Program/StyleApps/Options/style1app1opt2.src, KRC/R1/Program/StyleApps/Options/style1app1opt3.src, KRC/R1/System/$config.dat</t>
        </is>
      </c>
      <c r="H18" s="10" t="inlineStr">
        <is>
          <t>• NUT_WELD_RETRY y RETRY_NUT1 no aparecen en el respaldo.
• Un ciclo completo en automático con las 3 tuercas, sin errores. Anotar fecha.</t>
        </is>
      </c>
      <c r="I18" s="10" t="inlineStr">
        <is>
          <t>F24</t>
        </is>
      </c>
      <c r="J18" s="10" t="inlineStr">
        <is>
          <t>Cerrado - auditado</t>
        </is>
      </c>
      <c r="K18" s="10" t="inlineStr"/>
      <c r="L18" s="10" t="inlineStr"/>
      <c r="M18" s="10" t="inlineStr"/>
      <c r="N18" s="10" t="inlineStr"/>
      <c r="O18" s="10" t="inlineStr">
        <is>
          <t>Cerrado - auditado</t>
        </is>
      </c>
      <c r="P18" s="10" t="inlineStr">
        <is>
          <t>2026-10-11</t>
        </is>
      </c>
      <c r="Q18" s="10" t="inlineStr">
        <is>
          <t>Respaldo del 10/10 (versión de oficina del 05/10 cargada + cambios suyos del 06 al 10/10). El retry ya funciona: si la pistola cierra abajo de la ventana (sin tuerca) no suelda, el robot se queda, pide otra tuerca y suelda otra vez (NUT_WELD_RETRY, tope nNutRetryMax=1, mensaje NUT_RETRY_MSG); como el REPEAT UNTIL de Gestamp con tope. Llevaba 8 reintentos (nNutRetryTotal) en el respaldo.</t>
        </is>
      </c>
    </row>
    <row r="19">
      <c r="A19" s="9" t="inlineStr">
        <is>
          <t>G18</t>
        </is>
      </c>
      <c r="B19" s="10" t="inlineStr">
        <is>
          <t>Gestamp #18</t>
        </is>
      </c>
      <c r="C19" s="13" t="inlineStr">
        <is>
          <t>Alto</t>
        </is>
      </c>
      <c r="D19" s="10" t="inlineStr">
        <is>
          <t>Sin chequeo de soldadura buena
Gestamp: "NO check for Weld OK, just weld finished"</t>
        </is>
      </c>
      <c r="E19" s="10" t="inlineStr">
        <is>
          <t>Código + prueba en celda</t>
        </is>
      </c>
      <c r="F19" s="10" t="inlineStr">
        <is>
          <t>Programador robot / Puesta en marcha</t>
        </is>
      </c>
      <c r="G19" s="10" t="inlineStr">
        <is>
          <t>KRC/R1/Program/Centerline/centerline_weld.src, KRC/R1/Program/Styles/Options/style1opt1.src</t>
        </is>
      </c>
      <c r="H19" s="10" t="inlineStr">
        <is>
          <t>• Se cumplen los criterios de F08.</t>
        </is>
      </c>
      <c r="I19" s="10" t="inlineStr">
        <is>
          <t>F08</t>
        </is>
      </c>
      <c r="J19" s="10" t="inlineStr">
        <is>
          <t>Aceptado sin cambio</t>
        </is>
      </c>
      <c r="K19" s="10" t="inlineStr"/>
      <c r="L19" s="10" t="inlineStr"/>
      <c r="M19" s="10" t="inlineStr"/>
      <c r="N19" s="10" t="inlineStr"/>
      <c r="O19" s="10" t="inlineStr">
        <is>
          <t>Avance del programador</t>
        </is>
      </c>
      <c r="P19" s="10" t="inlineStr">
        <is>
          <t>2026-10-11</t>
        </is>
      </c>
      <c r="Q19" s="10" t="inlineStr">
        <is>
          <t>Respaldo del 10/10 (versión de oficina del 05/10 cargada + cambios suyos del 06 al 10/10). Ahora además lee la falla del Bosch (WELD_COMPLETE_WAIT), igual que R20.</t>
        </is>
      </c>
    </row>
    <row r="20">
      <c r="A20" s="2" t="inlineStr">
        <is>
          <t>G19</t>
        </is>
      </c>
      <c r="B20" s="3" t="inlineStr">
        <is>
          <t>Gestamp #19</t>
        </is>
      </c>
      <c r="C20" s="8" t="inlineStr">
        <is>
          <t>Alto</t>
        </is>
      </c>
      <c r="D20" s="3" t="inlineStr">
        <is>
          <t>Handshake de la tuerca frágil ante selección de bloque, reset y reinicio
Gestamp: "Next_Nut_Ready logic can fail at block selection, reset, reboot"</t>
        </is>
      </c>
      <c r="E20" s="5" t="inlineStr">
        <is>
          <t>Código + prueba en celda</t>
        </is>
      </c>
      <c r="F20" s="5" t="inlineStr">
        <is>
          <t>Programador robot</t>
        </is>
      </c>
      <c r="G20" s="5" t="inlineStr">
        <is>
          <t>KRC/R1/Program/Centerline/PRELOAD.src, KRC/R1/Program/Centerline/Request_next_nut.src, KRC/R1/System/$config.dat, KRC/R1/cell.src, KRC/R1/System/sps.sub, KRC/R1/Program/StyleApps/Options/style1app1opt1.src, KRC/R1/Program/StyleApps/Options/style1app1opt2.src, KRC/R1/Program/StyleApps/Options/style1app1opt3.src, KRC/R1/Program/StylePicks/Options/style1pick1opt1.src, KRC/R1/Program/StylePicks/Options/style1pick1opt2.src</t>
        </is>
      </c>
      <c r="H20" s="5" t="inlineStr">
        <is>
          <t>• Se cumplen los criterios de F38 y F14.</t>
        </is>
      </c>
      <c r="I20" s="5" t="inlineStr">
        <is>
          <t>F38, F14</t>
        </is>
      </c>
      <c r="J20" s="6" t="inlineStr">
        <is>
          <t>Abierto</t>
        </is>
      </c>
      <c r="K20" s="6" t="inlineStr"/>
      <c r="L20" s="6" t="inlineStr"/>
      <c r="M20" s="6" t="inlineStr"/>
      <c r="N20" s="6" t="inlineStr"/>
      <c r="O20" s="7" t="inlineStr">
        <is>
          <t>Alta (Gestamp)</t>
        </is>
      </c>
      <c r="P20" s="7" t="inlineStr">
        <is>
          <t>2026-10-04</t>
        </is>
      </c>
      <c r="Q20" s="7" t="inlineStr">
        <is>
          <t>Punto 19 de la revisión de Gestamp del 2026-10-02 (BMW-03-10R1).</t>
        </is>
      </c>
    </row>
    <row r="21">
      <c r="A21" s="9" t="inlineStr">
        <is>
          <t>G20</t>
        </is>
      </c>
      <c r="B21" s="10" t="inlineStr">
        <is>
          <t>Gestamp #20</t>
        </is>
      </c>
      <c r="C21" s="13" t="inlineStr">
        <is>
          <t>Alto</t>
        </is>
      </c>
      <c r="D21" s="10" t="inlineStr">
        <is>
          <t>Request_next_nut y NUT_START fuera de los inline forms
Gestamp: "Change of xP0 deletes Request_next_nut inside inline forms"</t>
        </is>
      </c>
      <c r="E21" s="10" t="inlineStr">
        <is>
          <t>Código + prueba en celda</t>
        </is>
      </c>
      <c r="F21" s="10" t="inlineStr">
        <is>
          <t>Programador robot (prueba en celda)</t>
        </is>
      </c>
      <c r="G21" s="10"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21" s="10" t="inlineStr">
        <is>
          <t>• Ningún fold de inline form contiene líneas escritas a mano (la auditoría lo revisa).
• Prueba: abrir el inline form PTP P12 de style1pick1opt1 y PTP P0 de style1app1opt1 y confirmarlos con Cmd OK sin cambiar nada (sin Touch Up, que reenseña el punto); el TRIGGER sigue antes de cada fold. Después, un ciclo completo en automático: NUT_READY y NEXT_NUT_READY (display de variables) pasan a FALSE y vuelven a TRUE una vez por tuerca (3 preloads por pieza). Anotar fecha.</t>
        </is>
      </c>
      <c r="I21" s="10" t="inlineStr">
        <is>
          <t>F32, F14</t>
        </is>
      </c>
      <c r="J21" s="10" t="inlineStr">
        <is>
          <t>Cerrado - auditado</t>
        </is>
      </c>
      <c r="K21" s="10" t="inlineStr"/>
      <c r="L21" s="10" t="inlineStr"/>
      <c r="M21" s="10" t="inlineStr"/>
      <c r="N21" s="10" t="inlineStr"/>
      <c r="O21" s="10" t="inlineStr">
        <is>
          <t>Cerrado - auditado</t>
        </is>
      </c>
      <c r="P21" s="10" t="inlineStr">
        <is>
          <t>2026-10-11</t>
        </is>
      </c>
      <c r="Q21" s="10" t="inlineStr">
        <is>
          <t>Respaldo del 10/10 (versión de oficina del 05/10 cargada + cambios suyos del 06 al 10/10). El TRIGGER de NUT_START en los picks va antes del fold del movimiento; Request_next_nut es una llamada después de soldar; los borrados del red rabbit quedaron fuera del fold DropOff[2] Reset. En los forms OUT 18/106 queda la misma salida escrita con su nombre (do018Part1InGripper, do106PartRejected): reabrir el form regenera la misma salida (igual que R20). La auditoría lo marca FAIL por no ver $OUT[n]; revisado: no es error.</t>
        </is>
      </c>
    </row>
    <row r="22">
      <c r="A22" s="2" t="inlineStr">
        <is>
          <t>G21</t>
        </is>
      </c>
      <c r="B22" s="3" t="inlineStr">
        <is>
          <t>Gestamp #21</t>
        </is>
      </c>
      <c r="C22" s="8" t="inlineStr">
        <is>
          <t>Alto</t>
        </is>
      </c>
      <c r="D22" s="3" t="inlineStr">
        <is>
          <t>El nut check no funciona para red rabbit
Gestamp: "Style1app2Opt1 will not work for RedRabbit"</t>
        </is>
      </c>
      <c r="E22" s="5" t="inlineStr">
        <is>
          <t>Decisión + código</t>
        </is>
      </c>
      <c r="F22" s="5" t="inlineStr">
        <is>
          <t>Gestamp controles / Programador robot</t>
        </is>
      </c>
      <c r="G22" s="5" t="inlineStr">
        <is>
          <t>KRC/R1/Program/StyleApps/Options/style1app2opt1.src, KRC/R1/Program/StyleApps/Options/style1app2opt2.src, KRC/R1/Program/Styles/Options/Style1Opt10AutoRR.src</t>
        </is>
      </c>
      <c r="H22" s="5" t="inlineStr">
        <is>
          <t>• Red rabbit con la lógica de Gestamp: FAILED si hay cualquier tuerca (OR), PASSED si no hay ninguna.
• do141/do142 ya no se borran en el drop red rabbit (solo en MaintainSystem o donde lo pida el PLC).
• La cámara no escribe un resultado contrario en el red rabbit (Gestamp no la corre ahí).
• Prueba del red rabbit con la pieza red rabbit y con una pieza buena; anotar fecha y lo que ve el PLC.</t>
        </is>
      </c>
      <c r="I22" s="5" t="inlineStr">
        <is>
          <t>F19, G08</t>
        </is>
      </c>
      <c r="J22" s="6" t="inlineStr">
        <is>
          <t>Abierto</t>
        </is>
      </c>
      <c r="K22" s="6" t="inlineStr"/>
      <c r="L22" s="6" t="inlineStr"/>
      <c r="M22" s="6" t="inlineStr"/>
      <c r="N22" s="6" t="inlineStr"/>
      <c r="O22" s="7" t="inlineStr">
        <is>
          <t>Sin cambio</t>
        </is>
      </c>
      <c r="P22" s="7" t="inlineStr">
        <is>
          <t>2026-10-11</t>
        </is>
      </c>
      <c r="Q22" s="7" t="inlineStr">
        <is>
          <t>Respaldo del 10/10 (versión de oficina del 05/10 cargada + cambios suyos del 06 al 10/10). El red rabbit sigue dando FAILED solo con las 3 tuercas (AND, style1app2opt1.src:164) y el drop red rabbit borra do141/do142 (ya fuera del fold).</t>
        </is>
      </c>
    </row>
    <row r="23">
      <c r="A23" s="2" t="inlineStr">
        <is>
          <t>G22</t>
        </is>
      </c>
      <c r="B23" s="3" t="inlineStr">
        <is>
          <t>Gestamp #22</t>
        </is>
      </c>
      <c r="C23" s="8" t="inlineStr">
        <is>
          <t>Alto</t>
        </is>
      </c>
      <c r="D23" s="3" t="inlineStr">
        <is>
          <t>Uso incorrecto de AutomationCore
Gestamp: "Use of AutomationCore is wrong in multiple places"</t>
        </is>
      </c>
      <c r="E23" s="5" t="inlineStr">
        <is>
          <t>Decisión Gestamp + código</t>
        </is>
      </c>
      <c r="F23" s="5" t="inlineStr">
        <is>
          <t>Gestamp controles / Programador robot</t>
        </is>
      </c>
      <c r="G23" s="5" t="inlineStr">
        <is>
          <t>KRC/R1/System/sps.sub, KRC/R1/TP/AutomationCore/automationcoreroutines.src, inline forms AutomationCore, KRC/R1/Program/Utilities/RejectGE4.src, KRC/R1/Program/Styles/Options/style1opt1.src, KRC/R1/cell.src, KRC/R1/Program/masref_user.src</t>
        </is>
      </c>
      <c r="H23" s="5" t="inlineStr">
        <is>
          <t>• Lista de Gestamp recibida y anotada aquí.
• Cada lugar de la lista corregido y auditado.</t>
        </is>
      </c>
      <c r="I23" s="5" t="inlineStr">
        <is>
          <t>F12, C01, F46, F21, F20, C11, C12, C18, C19, C14, F35</t>
        </is>
      </c>
      <c r="J23" s="6" t="inlineStr">
        <is>
          <t>Abierto</t>
        </is>
      </c>
      <c r="K23" s="6" t="inlineStr"/>
      <c r="L23" s="6" t="inlineStr"/>
      <c r="M23" s="6" t="inlineStr"/>
      <c r="N23" s="6" t="inlineStr"/>
      <c r="O23" s="7" t="inlineStr">
        <is>
          <t>Estándar Gestamp</t>
        </is>
      </c>
      <c r="P23" s="7" t="inlineStr">
        <is>
          <t>2026-10-11</t>
        </is>
      </c>
      <c r="Q23" s="7" t="inlineStr">
        <is>
          <t>Gestamp nunca mandó su lista. Comparado con NUT07_10R1: C01 y C19 cumplen (AutomationCore_BKG activo, mismo código que R20), C14 queda solo en F47 y C12 se acepta (Gestamp no usa pounce en el ciclo). Quedan F12 (señales de NutWeld_BKG que usa el PLC), F20 (liberar Application 1 en el rechazo por nut check), F21 (5 forms con AC_CmdParam distinto a la llamada) y F46 (Work Complete).</t>
        </is>
      </c>
    </row>
    <row r="24">
      <c r="A24" s="9" t="inlineStr">
        <is>
          <t>F01</t>
        </is>
      </c>
      <c r="B24" s="10" t="inlineStr">
        <is>
          <t>Ethos</t>
        </is>
      </c>
      <c r="C24" s="15" t="inlineStr">
        <is>
          <t>Crítico</t>
        </is>
      </c>
      <c r="D24" s="10" t="inlineStr">
        <is>
          <t>Entrada al pedestal sin confirmar gun abierto, clamp abierto y QFP regresado</t>
        </is>
      </c>
      <c r="E24" s="10" t="inlineStr">
        <is>
          <t>Código + prueba en celda</t>
        </is>
      </c>
      <c r="F24" s="10" t="inlineStr">
        <is>
          <t>Programador robot</t>
        </is>
      </c>
      <c r="G24" s="10" t="inlineStr">
        <is>
          <t>KRC/R1/Program/StyleApps/Options/style1app1opt1.src, KRC/R1/Program/StyleApps/Options/style1app1opt2.src, KRC/R1/Program/StyleApps/Options/style1app1opt3.src, KRC/R1/Program/Centerline/PRELOAD.src, KRC/R1/Program/Centerline/centerline_weld.src</t>
        </is>
      </c>
      <c r="H24" s="10" t="inlineStr">
        <is>
          <t>• En style1app1opt1, opt2 y opt3, inmediatamente antes del LIN de aproximación (P20, P6 y P13 respectivamente), después de la espera de NUT_READY / NEXT_NUT_READY y fuera de cualquier fold de inline form, existe una espera supervisada (timeout + mensaje + $OUT[4] do004ProcessFault) de: CL_GunStrokePositionLPT &gt; CL_GUN_OPEN_MIN, $IN[466] di466PartClampOpen ON, $IN[482] dipw1_SpearHome ON y $IN[470] di470QFPAdvanced OFF. Corre también en dry cycle, porque el LIN de aproximación se ejecuta en los dos casos.
• La espera detiene el advance run (WAIT FOR, o WAIT SEC 0 antes de una evaluación con IF o lazo): la condición sobre CL_GunStrokePositionLPT, que es una variable y no una entrada, no se evalúa por adelantado.
• En PRELOAD, paso 20: STEP20DONE (y por tanto NUT_READY / NEXT_NUT_READY = TRUE) exige $IN[482] dipw1_SpearHome ON además de $TIMER[12].
• Prueba en T1 con override reducido, una por condición: clamp no abierto, QFP no regresado y gun no abierto (sensor desconectado o válvula sin aire). En cada caso el robot se detiene antes del LIN de aproximación con el mensaje que nombra la condición y $OUT[4] ON, y continúa solo al corregirla. Anotar fecha, override y resultado de cada caso.
• Comentarios del código cambiado según docs/CONVENTIONS.md (inglés, señal con dirección y nombre); ningún encabezado de inline form ni línea dentro de un fold de form cambia sin estar declarado (F32, F21, F31).</t>
        </is>
      </c>
      <c r="I24" s="10" t="inlineStr"/>
      <c r="J24" s="10" t="inlineStr">
        <is>
          <t>Cerrado - auditado</t>
        </is>
      </c>
      <c r="K24" s="10" t="inlineStr"/>
      <c r="L24" s="10" t="inlineStr"/>
      <c r="M24" s="10" t="inlineStr"/>
      <c r="N24" s="10" t="inlineStr"/>
      <c r="O24" s="10" t="inlineStr">
        <is>
          <t>Cerrado - auditado</t>
        </is>
      </c>
      <c r="P24" s="10" t="inlineStr">
        <is>
          <t>2026-10-11</t>
        </is>
      </c>
      <c r="Q24" s="10" t="inlineStr">
        <is>
          <t>Respaldo del 10/10 (versión de oficina del 05/10 cargada + cambios suyos del 06 al 10/10). PEDESTAL_CLEAR_CHECK confirma pistola abierta, clamp abierto y pin superior retraído antes de entrar y de salir (detiene el avance, mensaje y espera); NUT_READY solo llega con el QFP visto regresado (PRELOAD paso 20); las interrupciones 20-24 vigilan pistola, submit, clamp y pin durante la entrada. Igual que R20, que lo cerró.</t>
        </is>
      </c>
    </row>
    <row r="25">
      <c r="A25" s="9" t="inlineStr">
        <is>
          <t>F02</t>
        </is>
      </c>
      <c r="B25" s="10" t="inlineStr">
        <is>
          <t>Ethos</t>
        </is>
      </c>
      <c r="C25" s="13" t="inlineStr">
        <is>
          <t>Alto</t>
        </is>
      </c>
      <c r="D25" s="10" t="inlineStr">
        <is>
          <t>Options 2, 7 y 8 no evalúan el sensor de tuercas: solo decide la cámara</t>
        </is>
      </c>
      <c r="E25" s="10" t="inlineStr">
        <is>
          <t>Código + prueba en celda</t>
        </is>
      </c>
      <c r="F25" s="10" t="inlineStr">
        <is>
          <t>Programador robot + Gestamp controles</t>
        </is>
      </c>
      <c r="G25" s="10" t="inlineStr">
        <is>
          <t>KRC/R1/Program/StyleApps/Options/style1app2opt1.src, KRC/R1/Program/StyleApps/Options/style1app2opt2.src, KRC/R1/Program/Styles/style_1.src, KRC/R1/Program/Styles/Options/style1opt1.src</t>
        </is>
      </c>
      <c r="H25" s="10" t="inlineStr">
        <is>
          <t>• Respuesta escrita del programador PLC (Gestamp) con la lista de options que manda producción, adjunta a la lista.
• En style1app2opt1 toda option de producción que llega a Style1Opt1 (1, 2, 7, 8 o las confirmadas) entra en la evaluación del sensor; ninguna sale sin escribir bscrapGE4.
• bscrapGE4 = TRUE se asigna antes de leer $IN[227] di227NutPresent1 (nut check) y antes de pedir la cámara con $OUT[80] do080RepositionTooling1; bscrapGE4 = FALSE solo aparece en la rama de pase. En la cámara, una combinación de $IN[100]/$IN[101] distinta de OK ON y NG OFF deja la pieza en scrap.
• Ninguna option pasa en silencio: una option que no es de producción ni red rabbit da mensaje y $OUT[4] do004ProcessFault y bscrapGE4 queda en TRUE.
• Prueba en celda con option 2 (y 7/8 si producción las usa): (1) pieza con una tuerca faltante termina en RejectGE4 aunque la cámara dé OK (cámara simulada desde el PLC); (2) pieza con las 3 tuercas termina en Style1Drop1Opt1; (3) cámara NG termina en RejectGE4. Anotar fecha, option, caso y destino de la pieza.
• Comentarios del código cambiado según docs/CONVENTIONS.md (inglés, señal con dirección y nombre); ningún encabezado de inline form ni línea dentro de un fold de form cambia sin estar declarado (F32, F21, F31).</t>
        </is>
      </c>
      <c r="I25" s="10" t="inlineStr">
        <is>
          <t>G07</t>
        </is>
      </c>
      <c r="J25" s="10" t="inlineStr">
        <is>
          <t>Se cierra con otro punto</t>
        </is>
      </c>
      <c r="K25" s="10" t="inlineStr"/>
      <c r="L25" s="10" t="inlineStr"/>
      <c r="M25" s="10" t="inlineStr"/>
      <c r="N25" s="10" t="inlineStr"/>
      <c r="O25" s="10" t="inlineStr">
        <is>
          <t>Cambio de base</t>
        </is>
      </c>
      <c r="P25" s="10" t="inlineStr">
        <is>
          <t>2026-10-11</t>
        </is>
      </c>
      <c r="Q25" s="10" t="inlineStr">
        <is>
          <t>Base = programa del programador (respaldo del 2026-10-05 14:46). El nut check ya evalúa las options 1, 2, 7 y 8 y escribe bScrapGE4 TRUE o FALSE (style1app2opt1.src:140-145). Queda la definición de options: G07.</t>
        </is>
      </c>
    </row>
    <row r="26">
      <c r="A26" s="16" t="inlineStr">
        <is>
          <t>F03</t>
        </is>
      </c>
      <c r="B26" s="5" t="inlineStr">
        <is>
          <t>Calvin #8</t>
        </is>
      </c>
      <c r="C26" s="8" t="inlineStr">
        <is>
          <t>Alto</t>
        </is>
      </c>
      <c r="D26" s="5" t="inlineStr">
        <is>
          <t>PARTPRESENT1..3 y bscrapGE4 no se resetean al inicio del ciclo</t>
        </is>
      </c>
      <c r="E26" s="5" t="inlineStr">
        <is>
          <t>Código + prueba en celda</t>
        </is>
      </c>
      <c r="F26" s="5" t="inlineStr">
        <is>
          <t>Programador robot</t>
        </is>
      </c>
      <c r="G26" s="5" t="inlineStr">
        <is>
          <t>KRC/R1/Program/Styles/Options/style1opt1.src, KRC/R1/Program/Styles/Options/Style1Opt10AutoRR.src, KRC/R1/Program/StyleApps/Options/style1app2opt1.src, KRC/R1/System/$config.dat</t>
        </is>
      </c>
      <c r="H26" s="5" t="inlineStr">
        <is>
          <t>• En Style1Opt1, antes de cualquier pick, PARTPRESENT1..3 = FALSE y bscrapGE4 = TRUE.
• En Style1Opt10AutoRR, antes del pick, PARTPRESENT1..3 = FALSE (el nut check es compartido con el red rabbit).
• En style1app2opt1 cada uno de los 3 checks asigna PARTPRESENTn = di227NutPresent1 (TRUE o FALSE) (hecho en oficina, G13).
• Prueba en celda: cancelar un ciclo después del nut check (p. ej. en la espera de $IN[80] di080ToolRepositioned1), reiniciar y verificar en la pantalla de variables que PARTPRESENT1..3 = FALSE y bscrapGE4 = TRUE antes de llegar al nut check. Anotar fecha y valores leídos.
• Comentarios del código cambiado según docs/CONVENTIONS.md (inglés, señal con dirección y nombre); ningún encabezado de inline form ni línea dentro de un fold de form cambia sin estar declarado (F32, F21, F31).</t>
        </is>
      </c>
      <c r="I26" s="5" t="inlineStr">
        <is>
          <t>F02</t>
        </is>
      </c>
      <c r="J26" s="6" t="inlineStr">
        <is>
          <t>Abierto</t>
        </is>
      </c>
      <c r="K26" s="6" t="inlineStr"/>
      <c r="L26" s="6" t="inlineStr"/>
      <c r="M26" s="6" t="inlineStr"/>
      <c r="N26" s="6" t="inlineStr"/>
      <c r="O26" s="7" t="inlineStr">
        <is>
          <t>Avance del programador</t>
        </is>
      </c>
      <c r="P26" s="7" t="inlineStr">
        <is>
          <t>2026-10-11</t>
        </is>
      </c>
      <c r="Q26" s="7" t="inlineStr">
        <is>
          <t>Respaldo del 10/10 (versión de oficina del 05/10 cargada + cambios suyos del 06 al 10/10). PARTPRESENTn se asigna TRUE o FALSE en cada lectura y el nut check pone bscrapGE4=FALSE al empezar y lo decide en CASE 1,2,7,8. Falta el reset al inicio del ciclo (antes del pick) y la prueba.</t>
        </is>
      </c>
    </row>
    <row r="27">
      <c r="A27" s="16" t="inlineStr">
        <is>
          <t>F04</t>
        </is>
      </c>
      <c r="B27" s="5" t="inlineStr">
        <is>
          <t>Ethos</t>
        </is>
      </c>
      <c r="C27" s="8" t="inlineStr">
        <is>
          <t>Alto</t>
        </is>
      </c>
      <c r="D27" s="5" t="inlineStr">
        <is>
          <t>Dry cycle se cuelga en la primera weld app: PRELOAD borra NUT_READY y nunca lo pone</t>
        </is>
      </c>
      <c r="E27" s="5" t="inlineStr">
        <is>
          <t>Código + prueba en celda</t>
        </is>
      </c>
      <c r="F27" s="5" t="inlineStr">
        <is>
          <t>Programador robot</t>
        </is>
      </c>
      <c r="G27" s="5" t="inlineStr">
        <is>
          <t>KRC/R1/Program/StyleApps/Options/style1app1opt1.src, KRC/R1/Program/StyleApps/Options/style1app1opt2.src, KRC/R1/Program/StyleApps/Options/style1app1opt3.src, KRC/R1/Program/Centerline/PRELOAD.src, KRC/R1/Program/Centerline/Request_next_nut.src, KRC/R1/Program/StylePicks/Options/style1pick1opt1.src, KRC/R1/Program/StylePicks/Options/style1pick1opt2.src, KRC/R1/System/$config.dat</t>
        </is>
      </c>
      <c r="H27" s="5" t="inlineStr">
        <is>
          <t>• En style1app1opt1..3, en producción la espera de NUT_READY / NEXT_NUT_READY sigue antes del LIN de aproximación (P20, P6, P13), junto con la espera de F01. Con dry cycle no se ejecuta ninguna espera que dependa de PRELOAD.
• En PRELOAD, con dry cycle activo un NUT_START no deja NUTCYCLE_ACTIVE = TRUE con NUT_READY = FALSE; al terminar un dry cycle no queda un preload iniciado ni un NUT_START pendiente que alimente una tuerca al quitar el dry cycle.
• Prueba en celda: con dry cycle desde el inicio, ciclo completo desde la estación 1 y desde la estación 2 hasta el final del ciclo; después, sin dry cycle, un ciclo productivo con una sola tuerca alimentada para cada soldadura (sin doble tuerca ni espera infinita). Anotar fecha y resultado.
• Comentarios del código cambiado según docs/CONVENTIONS.md (inglés, señal con dirección y nombre); ningún encabezado de inline form ni línea dentro de un fold de form cambia sin estar declarado (F32, F21, F31).</t>
        </is>
      </c>
      <c r="I27" s="5" t="inlineStr"/>
      <c r="J27" s="6" t="inlineStr">
        <is>
          <t>Abierto</t>
        </is>
      </c>
      <c r="K27" s="6" t="inlineStr"/>
      <c r="L27" s="6" t="inlineStr"/>
      <c r="M27" s="6" t="inlineStr"/>
      <c r="N27" s="6" t="inlineStr"/>
      <c r="O27" s="7" t="inlineStr">
        <is>
          <t>Alta (Ethos)</t>
        </is>
      </c>
      <c r="P27" s="7" t="inlineStr">
        <is>
          <t>2026-10-04</t>
        </is>
      </c>
      <c r="Q27" s="7" t="inlineStr">
        <is>
          <t>Revisión Ethos del respaldo 658424 (v431_03_10_r1.zip del 2026-10-02).</t>
        </is>
      </c>
    </row>
    <row r="28">
      <c r="A28" s="16" t="inlineStr">
        <is>
          <t>F05</t>
        </is>
      </c>
      <c r="B28" s="5" t="inlineStr">
        <is>
          <t>Ethos</t>
        </is>
      </c>
      <c r="C28" s="8" t="inlineStr">
        <is>
          <t>Alto</t>
        </is>
      </c>
      <c r="D28" s="5" t="inlineStr">
        <is>
          <t>Dry cycle releído en cada paso: un cambio a mitad de ciclo deja pasar pieza incompleta</t>
        </is>
      </c>
      <c r="E28" s="5" t="inlineStr">
        <is>
          <t>Código + prueba en celda</t>
        </is>
      </c>
      <c r="F28" s="5" t="inlineStr">
        <is>
          <t>Programador robot</t>
        </is>
      </c>
      <c r="G28" s="5"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KRC/R1/Program/Centerline/PRELOAD.src, KRC/R1/Program/Styles/Options/style1opt1.src, KRC/R1/Program/Styles/Options/Style1Opt10AutoRR.src, KRC/R1/System/$config.dat</t>
        </is>
      </c>
      <c r="H28" s="5" t="inlineStr">
        <is>
          <t>• Existe una sola bandera de dry cycle declarada con comentario (p. ej. en $config.dat), asignada desde $IN[4] di004UseDryCycle una sola vez al inicio del ciclo, antes del pick, y nada la cambia hasta el final del ciclo.
• En los picks, style1app1opt1..3, style1app2opt1, style1app2opt2 y PRELOAD no queda ninguna lectura ejecutable de di004UseDryCycle; solo de la bandera (la de sps.sub para el agua se resuelve en F09).
• Con la bandera en TRUE se cumple, y está comentado en el código, uno de: (a) el pick verifica gripper vacío después de cerrar ($IN[253] y $IN[254] OFF) y da falla con mensaje si hay pieza; o (b) la pieza termina en RejectGE4 y nunca en Style1Drop1Opt1.
• Prueba en celda en producción (option 1), con la pieza de prueba segregada: activar $IN[4] desde el PLC (1) durante un preload y (2) con el preload de la tuerca 3 terminado y el robot yendo a su pose. En los dos casos el ciclo en curso termina como productivo (3 soldaduras e inspecciones), la celda no se cuelga y el ciclo siguiente corre en dry cycle. Anotar fecha, momento del cambio y destino de la pieza.
• Comentarios del código cambiado según docs/CONVENTIONS.md (inglés, señal con dirección y nombre); ningún encabezado de inline form ni línea dentro de un fold de form cambia sin estar declarado (F32, F21, F31).</t>
        </is>
      </c>
      <c r="I28" s="5" t="inlineStr"/>
      <c r="J28" s="6" t="inlineStr">
        <is>
          <t>Abierto</t>
        </is>
      </c>
      <c r="K28" s="6" t="inlineStr"/>
      <c r="L28" s="6" t="inlineStr"/>
      <c r="M28" s="6" t="inlineStr"/>
      <c r="N28" s="6" t="inlineStr"/>
      <c r="O28" s="7" t="inlineStr">
        <is>
          <t>Alta (Ethos)</t>
        </is>
      </c>
      <c r="P28" s="7" t="inlineStr">
        <is>
          <t>2026-10-04</t>
        </is>
      </c>
      <c r="Q28" s="7" t="inlineStr">
        <is>
          <t>Revisión Ethos del respaldo 658424 (v431_03_10_r1.zip del 2026-10-02).</t>
        </is>
      </c>
    </row>
    <row r="29">
      <c r="A29" s="16" t="inlineStr">
        <is>
          <t>F06</t>
        </is>
      </c>
      <c r="B29" s="5" t="inlineStr">
        <is>
          <t>Ethos</t>
        </is>
      </c>
      <c r="C29" s="8" t="inlineStr">
        <is>
          <t>Alto</t>
        </is>
      </c>
      <c r="D29" s="5" t="inlineStr">
        <is>
          <t>Ciclos vacíos o silenciosos: pick ambiguo, style u option desconocidos</t>
        </is>
      </c>
      <c r="E29" s="5" t="inlineStr">
        <is>
          <t>Código + prueba en celda</t>
        </is>
      </c>
      <c r="F29" s="5" t="inlineStr">
        <is>
          <t>Programador robot</t>
        </is>
      </c>
      <c r="G29" s="5" t="inlineStr">
        <is>
          <t>KRC/R1/Program/Styles/Options/style1opt1.src, KRC/R1/Program/Styles/style_1.src, KRC/R1/cell.src</t>
        </is>
      </c>
      <c r="H29" s="5" t="inlineStr">
        <is>
          <t>• En Style1Opt1, mientras $IN[65] di065PickupMachine1 y $IN[66] di066PickupMachine2 no tengan exactamente una en ON, el robot espera con un mensaje que nombra ambas señales (con ambas en ON además $OUT[4] do004ProcessFault); no existe camino por Style1Opt1 que termine sin pick.
• En cell.src, el DEFAULT del SWITCH nStyle muestra mensaje y pone $OUT[4] do004ProcessFault, y un style no ejecutado no llega a EndOfCycle.
• En Style_1 no queda WAIT FOR FALSE; el DEFAULT muestra mensaje con el número de option y pone $OUT[4] do004ProcessFault.
• En los dos DEFAULT la falla se sostiene hasta que el operador o el PLC la reconoce (diálogo o mensaje con acuse); no es un pulso que MaintainSystem borra en la siguiente vuelta de CELL.
• Prueba en celda con el PLC: (1) style distinto de 1, (2) option no válida, (3) $IN[65] y $IN[66] ambas ON, (4) ambas OFF y después una sola en ON. En cada caso hay mensaje en el smartPAD; en (1) a (3) además $OUT[4] ON hasta el acuse; en (4) el ciclo sigue normal al quedar una sola en ON. Anotar fecha y resultado.
• Comentarios del código cambiado según docs/CONVENTIONS.md (inglés, señal con dirección y nombre); ningún encabezado de inline form ni línea dentro de un fold de form cambia sin estar declarado (F32, F21, F31).</t>
        </is>
      </c>
      <c r="I29" s="5" t="inlineStr">
        <is>
          <t>F02</t>
        </is>
      </c>
      <c r="J29" s="6" t="inlineStr">
        <is>
          <t>Abierto</t>
        </is>
      </c>
      <c r="K29" s="6" t="inlineStr"/>
      <c r="L29" s="6" t="inlineStr"/>
      <c r="M29" s="6" t="inlineStr"/>
      <c r="N29" s="6" t="inlineStr"/>
      <c r="O29" s="7" t="inlineStr">
        <is>
          <t>Alta (Ethos)</t>
        </is>
      </c>
      <c r="P29" s="7" t="inlineStr">
        <is>
          <t>2026-10-04</t>
        </is>
      </c>
      <c r="Q29" s="7" t="inlineStr">
        <is>
          <t>Revisión Ethos del respaldo 658424 (v431_03_10_r1.zip del 2026-10-02).</t>
        </is>
      </c>
    </row>
    <row r="30">
      <c r="A30" s="16" t="inlineStr">
        <is>
          <t>F07</t>
        </is>
      </c>
      <c r="B30" s="5" t="inlineStr">
        <is>
          <t>Ethos</t>
        </is>
      </c>
      <c r="C30" s="8" t="inlineStr">
        <is>
          <t>Alto</t>
        </is>
      </c>
      <c r="D30" s="5" t="inlineStr">
        <is>
          <t>Chequeo de gun cerrado: HALT sin mensaje como manejo de falla</t>
        </is>
      </c>
      <c r="E30" s="5" t="inlineStr">
        <is>
          <t>Código + prueba en celda</t>
        </is>
      </c>
      <c r="F30" s="5" t="inlineStr">
        <is>
          <t>Programador robot</t>
        </is>
      </c>
      <c r="G30" s="5" t="inlineStr">
        <is>
          <t>KRC/R1/Program/Centerline/centerline_weld.src</t>
        </is>
      </c>
      <c r="H30" s="5" t="inlineStr">
        <is>
          <t>• En CENTERLINE_WELD no queda HALT en el chequeo de gun cerrado.
• Al vencer el timeout se muestra un diálogo AutomationCore (Set_KrlDlg o equivalente) con $OUT[4] do004ProcessFault ON, que nombra la falla (según CL_GunStrokePositionLPT respecto a la ventana) y ofrece Retry y Abort.
• Retry vuelve a armar el timeout y el tiempo en ventana: un segundo timeout es posible (hecho en oficina para el HALT actual, G11).
• Abort abre el gun ($OUT[472] dopw1_GunWork OFF, $OUT[471] dopw1_GunHome ON) y el clamp ($OUT[501] do501PartClampClose OFF, $OUT[502] do502PartClampOpen ON), no da weld start ($OUT[483] dopw1_WeldInit) para esa tuerca, y la pieza termina en RejectGE4.
• Prueba en T1, sin pieza, sin nadie en el pedestal y con el timer Bosch sin corriente de soldadura: cerrar el gun sin tuerca en el pin: aparece el diálogo; Retry sin corregir hace que el diálogo vuelva a salir; Abort abre gun y clamp. Anotar fecha, valor de CL_GunStrokePositionLPT leído y resultado.
• Comentarios del código cambiado según docs/CONVENTIONS.md (inglés, señal con dirección y nombre); ningún encabezado de inline form ni línea dentro de un fold de form cambia sin estar declarado (F32, F21, F31).</t>
        </is>
      </c>
      <c r="I30" s="5" t="inlineStr"/>
      <c r="J30" s="6" t="inlineStr">
        <is>
          <t>Abierto</t>
        </is>
      </c>
      <c r="K30" s="6" t="inlineStr"/>
      <c r="L30" s="6" t="inlineStr"/>
      <c r="M30" s="6" t="inlineStr"/>
      <c r="N30" s="6" t="inlineStr"/>
      <c r="O30" s="7" t="inlineStr">
        <is>
          <t>Avance del programador</t>
        </is>
      </c>
      <c r="P30" s="7" t="inlineStr">
        <is>
          <t>2026-10-11</t>
        </is>
      </c>
      <c r="Q30" s="7" t="inlineStr">
        <is>
          <t>Respaldo del 10/10 (versión de oficina del 05/10 cargada + cambios suyos del 06 al 10/10). GUN_CLOSE_FAULT da mensaje (sin tuerca / doble tuerca) y prende la luz roja; antes reintenta una vez con tuerca nueva (G17). Después del reintento sigue un HALT (centerline_weld.src:235). La ventana bajó de 300 a 150 ms (CL_GUN_IN_WINDOW_TIME): Gestamp pide la pistola estable 200 ms (SensorSettle).</t>
        </is>
      </c>
    </row>
    <row r="31">
      <c r="A31" s="9" t="inlineStr">
        <is>
          <t>F08</t>
        </is>
      </c>
      <c r="B31" s="10" t="inlineStr">
        <is>
          <t>Calvin #2</t>
        </is>
      </c>
      <c r="C31" s="13" t="inlineStr">
        <is>
          <t>Alto</t>
        </is>
      </c>
      <c r="D31" s="10" t="inlineStr">
        <is>
          <t>Resultado de soldadura Bosch no evaluado: weld complete se toma como soldadura buena</t>
        </is>
      </c>
      <c r="E31" s="10" t="inlineStr">
        <is>
          <t>Código + prueba en celda</t>
        </is>
      </c>
      <c r="F31" s="10" t="inlineStr">
        <is>
          <t>Programador robot + Gestamp controles</t>
        </is>
      </c>
      <c r="G31" s="10" t="inlineStr">
        <is>
          <t>KRC/R1/Program/Centerline/centerline_weld.src, KRC/R1/Program/Styles/Options/style1opt1.src</t>
        </is>
      </c>
      <c r="H31" s="10" t="inlineStr">
        <is>
          <t>• Polaridad de $IN[485] confirmada con la lista de I/O de Bosch (documento y página) o con prueba en celda (valor leído con el timer en falla y sin falla), adjunta a la lista.
• En CENTERLINE_WELD, después de $OUT[483] dopw1_WeldInit ON, la espera es $IN[483] dipw1_WeldComplete O falla ($IN[485] con la polaridad confirmada) con timeout; el código usa el nombre de $IN[485] que coincide con esa polaridad.
• En falla o timeout: presión base (CL_GUN_PRESS_BASE, con el orden de bytes que confirme F44), intensify liberado ($OUT[473] dopw1_Nut1Intensify_Home en reposo, $OUT[494] dopw1_BlowOff OFF), $OUT[483] dopw1_WeldInit OFF, gun abierto, mensaje con $OUT[4] do004ProcessFault, y la pieza termina en RejectGE4 aunque después pasen el nut check y la cámara.
• Prueba en celda: provocar una falla del timer Bosch durante una soldadura (o simularla según el manual Bosch): el robot no sigue como soldadura buena, el gun abre, aparece el mensaje y la pieza va a RejectGE4. Anotar fecha, cómo se provocó la falla y resultado.
• Comentarios del código cambiado según docs/CONVENTIONS.md (inglés, señal con dirección y nombre); ningún encabezado de inline form ni línea dentro de un fold de form cambia sin estar declarado (F32, F21, F31).</t>
        </is>
      </c>
      <c r="I31" s="10" t="inlineStr">
        <is>
          <t>F44</t>
        </is>
      </c>
      <c r="J31" s="10" t="inlineStr">
        <is>
          <t>Aceptado sin cambio</t>
        </is>
      </c>
      <c r="K31" s="10" t="inlineStr"/>
      <c r="L31" s="10" t="inlineStr"/>
      <c r="M31" s="10" t="inlineStr"/>
      <c r="N31" s="10" t="inlineStr"/>
      <c r="O31" s="10" t="inlineStr">
        <is>
          <t>Avance del programador</t>
        </is>
      </c>
      <c r="P31" s="10" t="inlineStr">
        <is>
          <t>2026-10-11</t>
        </is>
      </c>
      <c r="Q31" s="10" t="inlineStr">
        <is>
          <t>Respaldo del 10/10 (versión de oficina del 05/10 cargada + cambios suyos del 06 al 10/10). WELD_COMPLETE_WAIT espera WeldComplete con timeout (CL_WELD_COMPLETE_TIMEOUT 3000 ms) y lee la falla del Bosch ($IN[485]) con mensaje y luz roja: ya hace más que el paquete NutWeld de Gestamp.</t>
        </is>
      </c>
    </row>
    <row r="32">
      <c r="A32" s="16" t="inlineStr">
        <is>
          <t>F09</t>
        </is>
      </c>
      <c r="B32" s="5" t="inlineStr">
        <is>
          <t>Ethos</t>
        </is>
      </c>
      <c r="C32" s="8" t="inlineStr">
        <is>
          <t>Alto</t>
        </is>
      </c>
      <c r="D32" s="5" t="inlineStr">
        <is>
          <t>Resultado del flujo de agua descartado; $OUT[475] forzado en ON</t>
        </is>
      </c>
      <c r="E32" s="5" t="inlineStr">
        <is>
          <t>Código + prueba en celda</t>
        </is>
      </c>
      <c r="F32" s="5" t="inlineStr">
        <is>
          <t>Programador robot + Puesta en marcha</t>
        </is>
      </c>
      <c r="G32" s="5" t="inlineStr">
        <is>
          <t>KRC/R1/System/sps.sub, KRC/R1/Program/Centerline/centerline_weld.src, KRC/R1/Program/Centerline/CENTERLINE_HOME.src, KRC/R1/Program/Utilities/gunelectrodechange.src, KRC/R1/System/$config.dat</t>
        </is>
      </c>
      <c r="H32" s="5" t="inlineStr">
        <is>
          <t>• En sps.sub, con SV0500_FLOW bajo el límite la bandera de agua usada por la soldadura queda en FALSE (ya no hay TRUE en las dos ramas); una sola bandera (CL_WaterOK o dipw1_WaterOk) y la otra se quita o se deja documentada.
• En CENTERLINE_WELD, antes de $OUT[483] dopw1_WeldInit ON, existe una espera supervisada (timeout + mensaje + $OUT[4] do004ProcessFault) de agua OK y $IN[475] dipw1_XtfmrTempOk ON; sin ellas no hay weld start.
• En sps.sub, $OUT[475] dopw1_StartWater se escribe en ambos sentidos según $IN[13] di013WaterEnable; una sola lógica decide $OUT[475] (el water-off de CENTERLINE_HOME y de gunelectrodechange se respeta o se quita, y el comentario dice quién manda).
• El límite de SV0500_FLOW (valor y operador) coincide con un valor confirmado por escrito (Gestamp o CenterLine) y el ;CHECK: del límite en sps.sub se elimina.
• Prueba en celda: (1) con $IN[13] OFF, $OUT[475] pasa a OFF; (2) con el agua cerrada el robot no da weld start y muestra mensaje; (3) con agua y transformador normales la soldadura arranca. Anotar fecha y SV0500_FLOW leído con agua normal y con agua cerrada.
• Comentarios del código cambiado según docs/CONVENTIONS.md (inglés, señal con dirección y nombre); ningún encabezado de inline form ni línea dentro de un fold de form cambia sin estar declarado (F32, F21, F31).</t>
        </is>
      </c>
      <c r="I32" s="5" t="inlineStr"/>
      <c r="J32" s="6" t="inlineStr">
        <is>
          <t>Abierto</t>
        </is>
      </c>
      <c r="K32" s="6" t="inlineStr"/>
      <c r="L32" s="6" t="inlineStr"/>
      <c r="M32" s="6" t="inlineStr"/>
      <c r="N32" s="6" t="inlineStr"/>
      <c r="O32" s="7" t="inlineStr">
        <is>
          <t>Evidencia parcial</t>
        </is>
      </c>
      <c r="P32" s="7" t="inlineStr">
        <is>
          <t>2026-10-05</t>
        </is>
      </c>
      <c r="Q32" s="7" t="inlineStr">
        <is>
          <t>Respaldo 14:46: nWaterFlow = 233 (23.3 l/min) con agua normal en este robot, arriba del mínimo de 15 l/min. Falta la prueba con agua cerrada y la espera antes del weld start.</t>
        </is>
      </c>
    </row>
    <row r="33">
      <c r="A33" s="16" t="inlineStr">
        <is>
          <t>F10</t>
        </is>
      </c>
      <c r="B33" s="5" t="inlineStr">
        <is>
          <t>Ethos</t>
        </is>
      </c>
      <c r="C33" s="8" t="inlineStr">
        <is>
          <t>Alto</t>
        </is>
      </c>
      <c r="D33" s="5" t="inlineStr">
        <is>
          <t>Sin estado seguro del pedestal al cancelar o resetear el programa</t>
        </is>
      </c>
      <c r="E33" s="5" t="inlineStr">
        <is>
          <t>Código + prueba en celda</t>
        </is>
      </c>
      <c r="F33" s="5" t="inlineStr">
        <is>
          <t>Programador robot</t>
        </is>
      </c>
      <c r="G33" s="5" t="inlineStr">
        <is>
          <t>KRC/R1/System/sps.sub, KRC/R1/cell.src, KRC/R1/Program/Centerline/centerline_weld.src</t>
        </is>
      </c>
      <c r="H33" s="5" t="inlineStr">
        <is>
          <t>• Existe una rutina de estado seguro del pedestal que se ejecuta cuando el programa se cancela ($PRO_STATE1 = #P_FREE) y cuando se resetea ($PRO_STATE1 = #P_RESET).
• La rutina deja: $OUT[483] dopw1_WeldInit OFF, $OUT[481] dopw1_WeldContactEnable OFF, $OUT[482] dopw1_WeldOnExternal OFF, CL_GunPressureCmd = presión base (valor según F44), $OUT[473] dopw1_Nut1Intensify_Home en su reposo, $OUT[494] dopw1_BlowOff OFF, $OUT[476] dopw1_StartFeed OFF.
• La rutina deja además gun abierto y clamp abierto, salvo que la revisión de seguridad de F11 decida por escrito que en cancel/reset no se mueven actuadores sin enabling switch; en ese caso no los toca, el comentario cita esa decisión y la protección es el bloqueo de HOME.
• En cell.src ningún camino llega a InitializeSystem(), HOME() o HomeCheck() mientras el gun no esté abierto (CL_GunStrokePositionLPT &gt; CL_GUN_OPEN_MIN) o el clamp no esté abierto ($IN[466] di466PartClampOpen ON): espera supervisada con mensaje y $OUT[4] do004ProcessFault, sin movimiento.
• Prueba en T1, sin pieza, sin nadie en el pedestal y con el timer Bosch sin corriente: detener CENTERLINE_WELD con el clamp cerrado y cancelar el programa; leer cada salida de la lista. Repetir con reset. Después, con el clamp detectado como no abierto, seleccionar CELL: el robot no se mueve a HOME y muestra mensaje. Anotar fecha y valores leídos.
• Comentarios del código cambiado según docs/CONVENTIONS.md (inglés, señal con dirección y nombre); ningún encabezado de inline form ni línea dentro de un fold de form cambia sin estar declarado (F32, F21, F31).</t>
        </is>
      </c>
      <c r="I33" s="5" t="inlineStr">
        <is>
          <t>F11, F44</t>
        </is>
      </c>
      <c r="J33" s="6" t="inlineStr">
        <is>
          <t>Abierto</t>
        </is>
      </c>
      <c r="K33" s="6" t="inlineStr"/>
      <c r="L33" s="6" t="inlineStr"/>
      <c r="M33" s="6" t="inlineStr"/>
      <c r="N33" s="6" t="inlineStr"/>
      <c r="O33" s="7" t="inlineStr">
        <is>
          <t>Alta (Ethos)</t>
        </is>
      </c>
      <c r="P33" s="7" t="inlineStr">
        <is>
          <t>2026-10-04</t>
        </is>
      </c>
      <c r="Q33" s="7" t="inlineStr">
        <is>
          <t>Revisión Ethos del respaldo 658424 (v431_03_10_r1.zip del 2026-10-02).</t>
        </is>
      </c>
    </row>
    <row r="34">
      <c r="A34" s="16" t="inlineStr">
        <is>
          <t>F11</t>
        </is>
      </c>
      <c r="B34" s="5" t="inlineStr">
        <is>
          <t>Ethos</t>
        </is>
      </c>
      <c r="C34" s="17" t="inlineStr">
        <is>
          <t>Crítico</t>
        </is>
      </c>
      <c r="D34" s="5" t="inlineStr">
        <is>
          <t>PRELOAD en el submit mueve el pedestal en cualquier modo, sin dueño de las salidas</t>
        </is>
      </c>
      <c r="E34" s="5" t="inlineStr">
        <is>
          <t>Código + prueba en celda</t>
        </is>
      </c>
      <c r="F34" s="5" t="inlineStr">
        <is>
          <t>Seguridad + Programador robot</t>
        </is>
      </c>
      <c r="G34" s="5" t="inlineStr">
        <is>
          <t>KRC/R1/System/sps.sub, KRC/R1/Program/Centerline/PRELOAD.src, KRC/R1/Program/Centerline/Request_next_nut.src, KRC/R1/Program/Centerline/centerline_weld.src, KRC/R1/Program/Centerline/CENTERLINE_HOME.src, KRC/R1/Program/StylePicks/Options/style1pick1opt1.src, KRC/R1/Program/StylePicks/Options/style1pick1opt2.src, KRC/R1/System/$config.dat</t>
        </is>
      </c>
      <c r="H34" s="5" t="inlineStr">
        <is>
          <t>• Revisión de seguridad documentada (Gestamp / Seguridad) que responde si el aire del pedestal se corta con la puerta abierta, con referencia al plano o a una prueba física con fecha, adjunta a la lista.
• En PRELOAD (o en su llamada en sps.sub), el arranque y los pasos están condicionados a $MODE_OP == #EX, $MOVE_ENABLE TRUE y una bandera de liberación declarada que pone y quita el programa del robot; con la condición en FALSE, PRELOAD no escribe ninguna salida del pedestal.
• Si la condición cae con un preload a medias, el comportamiento está escrito en un comentario de PRELOAD y un preload interrumpido no puede terminar en NUT_READY / NEXT_NUT_READY = TRUE sin haber completado sus pasos.
• PRELOAD no arranca mientras CENTERLINE_WELD o CENTERLINE_HOME están corriendo, y esos programas no escriben válvulas del pedestal mientras NUTCYCLE_ACTIVE es TRUE.
• Un NUT_START recibido con un preload activo no produce una bandera de un solo ciclo de submit que el robot pueda tomar como buena.
• En T1/T2 el ciclo no se queda esperando NUT_READY sin mensaje.
• Prueba en celda, sin nadie en el pedestal: (1) en T1, correr el pick paso a paso hasta pasar P12 y soltar el enabling switch: el pedestal no se mueve; (2) con CELL cancelado, poner NUT_START = TRUE desde la pantalla de variables: el pedestal no se mueve; (3) en automático externo, un ciclo productivo completo alimenta y suelda las 3 tuercas. Anotar fecha y resultado.
• Comentarios del código cambiado según docs/CONVENTIONS.md (inglés, señal con dirección y nombre); ningún encabezado de inline form ni línea dentro de un fold de form cambia sin estar declarado (F32, F21, F31).</t>
        </is>
      </c>
      <c r="I34" s="5" t="inlineStr"/>
      <c r="J34" s="6" t="inlineStr">
        <is>
          <t>Requiere decisión</t>
        </is>
      </c>
      <c r="K34" s="6" t="inlineStr"/>
      <c r="L34" s="6" t="inlineStr"/>
      <c r="M34" s="6" t="inlineStr"/>
      <c r="N34" s="6" t="inlineStr"/>
      <c r="O34" s="7" t="inlineStr">
        <is>
          <t>Alta (Ethos)</t>
        </is>
      </c>
      <c r="P34" s="7" t="inlineStr">
        <is>
          <t>2026-10-04</t>
        </is>
      </c>
      <c r="Q34" s="7" t="inlineStr">
        <is>
          <t>Revisión Ethos del respaldo 658424 (v431_03_10_r1.zip del 2026-10-02).</t>
        </is>
      </c>
    </row>
    <row r="35">
      <c r="A35" s="16" t="inlineStr">
        <is>
          <t>F12</t>
        </is>
      </c>
      <c r="B35" s="5" t="inlineStr">
        <is>
          <t>Ethos</t>
        </is>
      </c>
      <c r="C35" s="8" t="inlineStr">
        <is>
          <t>Alto</t>
        </is>
      </c>
      <c r="D35" s="5" t="inlineStr">
        <is>
          <t>Background de AutomationCore y NutWeld deshabilitado: los bits de estado al PLC no cambian</t>
        </is>
      </c>
      <c r="E35" s="5" t="inlineStr">
        <is>
          <t>Decisión Gestamp</t>
        </is>
      </c>
      <c r="F35" s="5" t="inlineStr">
        <is>
          <t>Gestamp controles + Programador robot</t>
        </is>
      </c>
      <c r="G35" s="5" t="inlineStr">
        <is>
          <t>KRC/R1/System/sps.sub, KRC/R1/TP/AutomationCore/automationcoreroutines.src, KRC/R1/TP/NutWeld/nutweldroutines.src, KRC/R1/System/$config.dat, KRC/R1/Program/Utilities/pouncetohome.src, KRC/R1/Program/Utilities/gunelectrodechange.src, KRC/R1/cell.src</t>
        </is>
      </c>
      <c r="H35" s="5" t="inlineStr">
        <is>
          <t>• Decisión escrita de Gestamp (nombre, fecha): reactivar AutomationCore_BKG y/o NutWeld_BKG, o reproducir los bits en sps.sub.
• Si se reactiva AutomationCore_BKG: F35 está cerrado antes; en automationcoreroutines.src ya no hay escrituras de weld enable por dry cycle ni de $OUT[475] que contradigan F09; cada cambio en el archivo del proveedor queda en la lista de C28.
• Si se reactiva NutWeld_BKG: F17 está cerrado antes (nombres de pistola 2/3 traslapados con CL_GunPressureCmd).
• Si se reproducen en sps.sub: se escriben en cada ciclo $OUT[21], $OUT[22], $OUT[6], $OUT[7], $OUT[46], los bits de nodo de bus que Gestamp pida, $OUT[146], $OUT[145] doCriticalWZ, el nivel de tolva y la petición de cambio de electrodo que se acuerde en F43, con la lógica aprobada por escrito.
• En cualquier caso, $OUT[145] doCriticalWZ está en TRUE (entrada no permitida) mientras CENTERLINE_WELD corre o PRELOAD está activo.
• Prueba en celda: verificar desde el PLC cada bit que se pueda provocar (p. ej. override &lt; 100 % en automático externo; una solicitud de entrada durante CENTERLINE_WELD no recibe permiso); los demás se revisan en código. Anotar fecha y resultado por bit.
• Comentarios del código cambiado según docs/CONVENTIONS.md (inglés, señal con dirección y nombre); ningún encabezado de inline form ni línea dentro de un fold de form cambia sin estar declarado (F32, F21, F31).</t>
        </is>
      </c>
      <c r="I35" s="5" t="inlineStr">
        <is>
          <t>F17, F35</t>
        </is>
      </c>
      <c r="J35" s="6" t="inlineStr">
        <is>
          <t>En proceso</t>
        </is>
      </c>
      <c r="K35" s="6" t="inlineStr"/>
      <c r="L35" s="6" t="inlineStr"/>
      <c r="M35" s="6" t="inlineStr"/>
      <c r="N35" s="6" t="inlineStr"/>
      <c r="O35" s="7" t="inlineStr">
        <is>
          <t>Avance del programador</t>
        </is>
      </c>
      <c r="P35" s="7" t="inlineStr">
        <is>
          <t>2026-10-11</t>
        </is>
      </c>
      <c r="Q35" s="7" t="inlineStr">
        <is>
          <t>Respaldo del 10/10 (versión de oficina del 05/10 cargada + cambios suyos del 06 al 10/10). sps.sub replica las señales del soldador "como NUT07" (do046 weld mode, do107 tolva, do118 nut ready, do134 nut fault, do094 aire, do013 agua, estado del stepper) y mantiene habilitado el Bosch fuera de dry cycle. Se cierra cuando el PLC confirme que recibe las señales que usa.</t>
        </is>
      </c>
    </row>
    <row r="36">
      <c r="A36" s="16" t="inlineStr">
        <is>
          <t>F13</t>
        </is>
      </c>
      <c r="B36" s="5" t="inlineStr">
        <is>
          <t>Calvin #6</t>
        </is>
      </c>
      <c r="C36" s="4" t="inlineStr">
        <is>
          <t>Medio</t>
        </is>
      </c>
      <c r="D36" s="5" t="inlineStr">
        <is>
          <t>PRELOAD sin timeouts por paso, sin falla y banderas de tuerca lista sin confirmar alimentación</t>
        </is>
      </c>
      <c r="E36" s="5" t="inlineStr">
        <is>
          <t>Código + prueba en celda</t>
        </is>
      </c>
      <c r="F36" s="5" t="inlineStr">
        <is>
          <t>Programador robot</t>
        </is>
      </c>
      <c r="G36" s="5" t="inlineStr">
        <is>
          <t>KRC/R1/Program/Centerline/PRELOAD.src, KRC/R1/System/$config.dat, KRC/R1/Program/StyleApps/Options/style1app1opt1.src, KRC/R1/Program/StyleApps/Options/style1app1opt2.src, KRC/R1/Program/StyleApps/Options/style1app1opt3.src</t>
        </is>
      </c>
      <c r="H36" s="5" t="inlineStr">
        <is>
          <t>• En PRELOAD toda condición que la secuencia espera (QFP regresado/avanzado en los pasos 0 y 10, QFP regresado al final del paso 20, $IN[481] dipw1_FeedComplt) tiene timeout; al vencer: NUT_PRELOAD_FAULT = TRUE, queda registrado el paso y la señal, y la secuencia no pone NUT_READY ni NEXT_NUT_READY.
• PRELOAD no contiene WAIT FOR ni WAIT SEC (corre en el submit).
• Existe al menos una asignación NUT_PRELOAD_FAULT = TRUE en código activo, y la falla solo se borra en un punto definido (reset del operador o rutina de reset), dicho en el comentario.
• Fuera de dry cycle, NUT_READY / NEXT_NUT_READY = TRUE solo con $IN[481] visto ON durante la alimentación, $IN[480] en nivel OK (polaridad confirmada) y QFP regresado confirmado al final del paso 20.
• En style1app1opt1..3 la espera previa al LIN de aproximación termina con la bandera de tuerca lista o con NUT_PRELOAD_FAULT; con falla hay mensaje, $OUT[4] do004ProcessFault ON y el robot no ejecuta el LIN de aproximación.
• Prueba en celda: (a) tolva vacía o alimentador apagado: no hay tuerca lista, aparece el mensaje y el robot no entra al pedestal; (b) aire del QFP cerrado: timeout del paso con mensaje. Anotar fecha, timeout y texto del mensaje.
• Comentarios del código cambiado según docs/CONVENTIONS.md (inglés, señal con dirección y nombre); ningún encabezado de inline form ni línea dentro de un fold de form cambia sin estar declarado (F32, F21, F31).</t>
        </is>
      </c>
      <c r="I36" s="5" t="inlineStr">
        <is>
          <t>F01, F11</t>
        </is>
      </c>
      <c r="J36" s="6" t="inlineStr">
        <is>
          <t>Abierto</t>
        </is>
      </c>
      <c r="K36" s="6" t="inlineStr"/>
      <c r="L36" s="6" t="inlineStr"/>
      <c r="M36" s="6" t="inlineStr"/>
      <c r="N36" s="6" t="inlineStr"/>
      <c r="O36" s="7" t="inlineStr">
        <is>
          <t>Avance del programador</t>
        </is>
      </c>
      <c r="P36" s="7" t="inlineStr">
        <is>
          <t>2026-10-11</t>
        </is>
      </c>
      <c r="Q36" s="7" t="inlineStr">
        <is>
          <t>Respaldo del 10/10 (versión de oficina del 05/10 cargada + cambios suyos del 06 al 10/10). El paso 20 termina con el QFP regresado ($IN[482]). Sin timeouts ni falla. La alimentación sigue por tiempo: 2000 ms + nFeedSettleMs (3000 ms desde el 10/10 porque "el alimentador sopla hasta 5 s" y faltaban tuercas) sin leer $IN[481] dipw1_FeedComplt: con el sensor la tuerca se confirma en cuanto llega.</t>
        </is>
      </c>
    </row>
    <row r="37">
      <c r="A37" s="16" t="inlineStr">
        <is>
          <t>F14</t>
        </is>
      </c>
      <c r="B37" s="5" t="inlineStr">
        <is>
          <t>Calvin #11</t>
        </is>
      </c>
      <c r="C37" s="4" t="inlineStr">
        <is>
          <t>Medio</t>
        </is>
      </c>
      <c r="D37" s="5" t="inlineStr">
        <is>
          <t>NUT_READY no se consume al soldar; la siguiente tuerca depende solo de TRIGGERs</t>
        </is>
      </c>
      <c r="E37" s="5" t="inlineStr">
        <is>
          <t>Código + prueba en celda</t>
        </is>
      </c>
      <c r="F37" s="5" t="inlineStr">
        <is>
          <t>Programador robot</t>
        </is>
      </c>
      <c r="G37" s="5" t="inlineStr">
        <is>
          <t>KRC/R1/Program/Centerline/centerline_weld.src, KRC/R1/Program/Centerline/PRELOAD.src, KRC/R1/Program/Centerline/Request_next_nut.src,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KRC/R1/System/$config.dat</t>
        </is>
      </c>
      <c r="H37" s="5" t="inlineStr">
        <is>
          <t>• En CENTERLINE_WELD después de $IN[483] dipw1_WeldComplete, o inmediatamente después de CENTERLINE_WELD() en style1app1opt1..3, existe NUT_READY = FALSE (y la bandera que usen las tuercas 2 y 3) antes de salir del pedestal.
• La petición de la tuerca 1 (picks) y de las tuercas 2 y 3 (final de style1app1opt1 y opt2) existe como instrucción en el flujo, fuera de TRIGGER, precedida de un paro de advance run; en las apps va después del movimiento que saca pieza y EOAT del alcance del QFP y de los pines.
• En PRELOAD una petición que llega con preload activo o con tuerca cargada sin consumir no arranca otra alimentación.
• Antes de alimentar se confirma pin vacío: por sensor si existe (nombre y dirección), o por estado si se confirma en sitio que no hay sensor; el comentario del paso dice cuál.
• El pick red rabbit no pide preload, o la lista anota por qué sí.
• Prueba en celda: (a) cancelar el ciclo con tuerca precargada y reiniciar desde home: no hay doble tuerca; (b) cancelar después de soldar la tuerca 1 y reiniciar con selección de paso en style1app1opt2: el robot no entra a soldar sin preload nuevo. Anotar fecha y resultado.
• Comentarios del código cambiado según docs/CONVENTIONS.md (inglés, señal con dirección y nombre); ningún encabezado de inline form ni línea dentro de un fold de form cambia sin estar declarado (F32, F21, F31).</t>
        </is>
      </c>
      <c r="I37" s="5" t="inlineStr">
        <is>
          <t>F11, F25, F32, F38</t>
        </is>
      </c>
      <c r="J37" s="6" t="inlineStr">
        <is>
          <t>Abierto</t>
        </is>
      </c>
      <c r="K37" s="6" t="inlineStr"/>
      <c r="L37" s="6" t="inlineStr"/>
      <c r="M37" s="6" t="inlineStr"/>
      <c r="N37" s="6" t="inlineStr"/>
      <c r="O37" s="7" t="inlineStr">
        <is>
          <t>Avance del programador</t>
        </is>
      </c>
      <c r="P37" s="7" t="inlineStr">
        <is>
          <t>2026-10-11</t>
        </is>
      </c>
      <c r="Q37" s="7" t="inlineStr">
        <is>
          <t>Respaldo del 10/10 (versión de oficina del 05/10 cargada + cambios suyos del 06 al 10/10). Request_next_nut ya es una llamada después de CENTERLINE_WELD, no un TRIGGER. NUT_READY sigue sin borrarse al soldar: se borra cuando arranca el siguiente preload. Con la pre-alimentación (paso 30, 5 s con nFeedSettleMs=3000) la petición puede quedar en espera; si el paso 30 llegara a durar más que soldar y salir, el robot vería el NUT_READY de la tuerca anterior y entraría sin tuerca (hoy hay ~1.5 s de margen).</t>
        </is>
      </c>
    </row>
    <row r="38">
      <c r="A38" s="16" t="inlineStr">
        <is>
          <t>F15</t>
        </is>
      </c>
      <c r="B38" s="5" t="inlineStr">
        <is>
          <t>Calvin #1</t>
        </is>
      </c>
      <c r="C38" s="4" t="inlineStr">
        <is>
          <t>Medio</t>
        </is>
      </c>
      <c r="D38" s="5" t="inlineStr">
        <is>
          <t>Unos 35 WAIT FOR sobre entradas de proceso sin timeout ni mensaje</t>
        </is>
      </c>
      <c r="E38" s="5" t="inlineStr">
        <is>
          <t>Código + prueba en celda</t>
        </is>
      </c>
      <c r="F38" s="5" t="inlineStr">
        <is>
          <t>Programador robot</t>
        </is>
      </c>
      <c r="G38" s="5" t="inlineStr">
        <is>
          <t>KRC/R1/Program/Centerline/centerline_weld.src,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KRC/R1/Program/StyleApps/Options/style1app2opt2.src, KRC/R1/cell.src, KRC/R1/Program/Centerline/CENTERLINE_HOME.src, KRC/R1/Program/Utilities/gunelectrodechange.src</t>
        </is>
      </c>
      <c r="H38" s="5" t="inlineStr">
        <is>
          <t>• En los módulos listados no queda espera sin timeout sobre $IN[466], $IN[467], $IN[470], $IN[479] dipw1_IntensfPresOk, $IN[482], $IN[483], $IN[484], CL_GunStrokePositionLPT, NUT_READY, NEXT_NUT_READY, $IN[80] di080ToolRepositioned1 ni $IN[253]/$IN[254].
• Al vencer un timeout: $OUT[4] do004ProcessFault ON, mensaje que nombra la señal con dirección, y el programa no continúa sin la condición (reintento o abort explícito).
• En CENTERLINE_WELD y CENTERLINE_HOME el abort de una espera vencida deja el pedestal abierto: primero $OUT[483] dopw1_WeldInit OFF, luego gun abierto y clamp abierto.
• En cell.src la espera de $IN[8] di008ReturnFromRepair tiene al menos mensaje de espera que nombra la señal.
• La lista trae una tabla módulo / señal / timeout (s) / reacción que coincide con el código del respaldo.
• Prueba en T1: provocar una espera vencida por grupo: pedestal (clamp sin aire), intensificado ($IN[479]), cámara ($IN[80] sin respuesta), Bosch (ready ausente) y gripper (pieza presente); anotar mensaje, $OUT[4] y fecha.
• Comentarios del código cambiado según docs/CONVENTIONS.md (inglés, señal con dirección y nombre); ningún encabezado de inline form ni línea dentro de un fold de form cambia sin estar declarado (F32, F21, F31).</t>
        </is>
      </c>
      <c r="I38" s="5" t="inlineStr">
        <is>
          <t>F01, F07, F10</t>
        </is>
      </c>
      <c r="J38" s="6" t="inlineStr">
        <is>
          <t>Abierto</t>
        </is>
      </c>
      <c r="K38" s="6" t="inlineStr"/>
      <c r="L38" s="6" t="inlineStr"/>
      <c r="M38" s="6" t="inlineStr"/>
      <c r="N38" s="6" t="inlineStr"/>
      <c r="O38" s="7" t="inlineStr">
        <is>
          <t>Alta (Ethos)</t>
        </is>
      </c>
      <c r="P38" s="7" t="inlineStr">
        <is>
          <t>2026-10-04</t>
        </is>
      </c>
      <c r="Q38" s="7" t="inlineStr">
        <is>
          <t>Revisión Ethos del respaldo 658424 (v431_03_10_r1.zip del 2026-10-02).</t>
        </is>
      </c>
    </row>
    <row r="39">
      <c r="A39" s="16" t="inlineStr">
        <is>
          <t>F16</t>
        </is>
      </c>
      <c r="B39" s="5" t="inlineStr">
        <is>
          <t>Ethos</t>
        </is>
      </c>
      <c r="C39" s="4" t="inlineStr">
        <is>
          <t>Medio</t>
        </is>
      </c>
      <c r="D39" s="5" t="inlineStr">
        <is>
          <t>Posición del pin superior nunca verificada</t>
        </is>
      </c>
      <c r="E39" s="5" t="inlineStr">
        <is>
          <t>Código + prueba en celda</t>
        </is>
      </c>
      <c r="F39" s="5" t="inlineStr">
        <is>
          <t>Programador robot / Puesta en marcha</t>
        </is>
      </c>
      <c r="G39" s="5" t="inlineStr">
        <is>
          <t>KRC/R1/Program/Centerline/centerline_weld.src, KRC/R1/System/$config.dat, KRC/R1/System/sps.sub</t>
        </is>
      </c>
      <c r="H39" s="5" t="inlineStr">
        <is>
          <t>• En CENTERLINE_WELD, antes de dopw1_WeldInit = TRUE, hay espera supervisada (timeout + mensaje + $OUT[4] do004ProcessFault) de CL_WeldPinPosition dentro de CL_PIN_WELD_MIN..CL_PIN_WELD_MAX.
• Después del comando de retraer ($OUT[499] do499UpperPinRetract ON) y antes del END hay espera supervisada de CL_WeldPinPosition dentro de una ventana de retraído declarada como constantes en $config.dat.
• Las ventanas coinciden con los valores medidos anotados en la lista (la tabla del encabezado da retraído 27252, extendido 6602, soldadura 11674) y no se traslapan; la tabla del encabezado coincide con las constantes.
• Las ventanas del gun usan CL_GUN_WELD_MIN/MAX y CL_GUN_OPEN_MIN (hecho en oficina, G16).
• Prueba en celda en T1: provocar que el pin superior no llegue a la ventana de soldadura: no hay weld start y aparece el mensaje; anotar fecha y resultado.
• Comentarios del código cambiado según docs/CONVENTIONS.md (inglés, señal con dirección y nombre); ningún encabezado de inline form ni línea dentro de un fold de form cambia sin estar declarado (F32, F21, F31).</t>
        </is>
      </c>
      <c r="I39" s="5" t="inlineStr">
        <is>
          <t>F27</t>
        </is>
      </c>
      <c r="J39" s="6" t="inlineStr">
        <is>
          <t>Abierto</t>
        </is>
      </c>
      <c r="K39" s="6" t="inlineStr"/>
      <c r="L39" s="6" t="inlineStr"/>
      <c r="M39" s="6" t="inlineStr"/>
      <c r="N39" s="6" t="inlineStr"/>
      <c r="O39" s="7" t="inlineStr">
        <is>
          <t>Alta (Ethos)</t>
        </is>
      </c>
      <c r="P39" s="7" t="inlineStr">
        <is>
          <t>2026-10-04</t>
        </is>
      </c>
      <c r="Q39" s="7" t="inlineStr">
        <is>
          <t>Revisión Ethos del respaldo 658424 (v431_03_10_r1.zip del 2026-10-02).</t>
        </is>
      </c>
    </row>
    <row r="40">
      <c r="A40" s="16" t="inlineStr">
        <is>
          <t>F17</t>
        </is>
      </c>
      <c r="B40" s="5" t="inlineStr">
        <is>
          <t>Ethos</t>
        </is>
      </c>
      <c r="C40" s="4" t="inlineStr">
        <is>
          <t>Medio</t>
        </is>
      </c>
      <c r="D40" s="5" t="inlineStr">
        <is>
          <t>Declaraciones traslapadas; nombres dobles en los bits del pedestal</t>
        </is>
      </c>
      <c r="E40" s="5" t="inlineStr">
        <is>
          <t>Código</t>
        </is>
      </c>
      <c r="F40" s="5" t="inlineStr">
        <is>
          <t>Programador robot</t>
        </is>
      </c>
      <c r="G40" s="5" t="inlineStr">
        <is>
          <t>KRC/R1/System/$config.dat, KRC/R1/TP/AutomationCore/automationcoreroutines.dat, KRC/R1/TP/NutWeld/nutweldroutines.dat</t>
        </is>
      </c>
      <c r="H40" s="5" t="inlineStr">
        <is>
          <t>• $IN[466], $IN[467], $IN[470], $OUT[498], $OUT[499] y $OUT[501..505] tienen nombre AutomationCore y el código del pedestal no usa direcciones literales (hecho en oficina, G12).
• Las declaraciones de pistola 2/3 que se traslapan con CL_GunPressureCmd, CL_LPT_BYTE0..3 y CL_PIN_BYTE0/1 y los nombres Spare de $IN[466/467/470] llevan comentario de retirados, y ningún programa del integrador los lee ni escribe.
• $OUT[477]/$OUT[478]: el comentario de la declaración dice cuál nombre es el correcto (confirmado con F29).
• $OUT[500] recibe nombre después de confirmar en celda qué mueve, o deja de usarse.
• Ninguna dirección cambió; cada edición en archivos del proveedor (automationcoreroutines.dat, nutweldroutines.dat) aparece en la lista de C28.
• Comentarios del código cambiado según docs/CONVENTIONS.md (inglés, señal con dirección y nombre); ningún encabezado de inline form ni línea dentro de un fold de form cambia sin estar declarado (F32, F21, F31).</t>
        </is>
      </c>
      <c r="I40" s="5" t="inlineStr">
        <is>
          <t>F29</t>
        </is>
      </c>
      <c r="J40" s="6" t="inlineStr">
        <is>
          <t>Abierto</t>
        </is>
      </c>
      <c r="K40" s="6" t="inlineStr"/>
      <c r="L40" s="6" t="inlineStr"/>
      <c r="M40" s="6" t="inlineStr"/>
      <c r="N40" s="6" t="inlineStr"/>
      <c r="O40" s="7" t="inlineStr">
        <is>
          <t>Alta (Ethos)</t>
        </is>
      </c>
      <c r="P40" s="7" t="inlineStr">
        <is>
          <t>2026-10-04</t>
        </is>
      </c>
      <c r="Q40" s="7" t="inlineStr">
        <is>
          <t>Revisión Ethos del respaldo 658424 (v431_03_10_r1.zip del 2026-10-02).</t>
        </is>
      </c>
    </row>
    <row r="41">
      <c r="A41" s="16" t="inlineStr">
        <is>
          <t>F18</t>
        </is>
      </c>
      <c r="B41" s="5" t="inlineStr">
        <is>
          <t>Ethos</t>
        </is>
      </c>
      <c r="C41" s="4" t="inlineStr">
        <is>
          <t>Medio</t>
        </is>
      </c>
      <c r="D41" s="5" t="inlineStr">
        <is>
          <t>KRC_IO.xml mapea $OUT[820..979] y $IN[820..930] sobre los mismos bytes del adapter PLC</t>
        </is>
      </c>
      <c r="E41" s="5" t="inlineStr">
        <is>
          <t>WorkVisual / configuración</t>
        </is>
      </c>
      <c r="F41" s="5" t="inlineStr">
        <is>
          <t>Gestamp controles / Programador robot</t>
        </is>
      </c>
      <c r="G41" s="5" t="inlineStr">
        <is>
          <t>C/KRC/Roboter/Config/User/Common/KRC_IO.xml, KRC/R1/Program/masref_user.src, KRC/R1/Program/Utilities/gunelectrodechange.src, KRC/R1/TP/AutomationCore/automationcoreroutines.dat, KRC/R1/TP/BrakeTest/braketeststart.src, KRC/R1/TP/BrakeTest/braketestback.src</t>
        </is>
      </c>
      <c r="H41" s="5" t="inlineStr">
        <is>
          <t>• En KRC_IO.xml no hay dos entradas &lt;Out&gt; ni dos &lt;In&gt; que cubran los mismos bits del mismo segmento EIP-ADAPTER.
• do930MasterRefInProcess, do931BrakeTestInProcess, di823ToolIDBit0 y di825ToolIDBit1 están en bits propios del mapa acordado, o ningún código activo los usa.
• El tamaño de assembly acordado con Gestamp está en la lista (captura de WorkVisual).
• Prueba fuera de ciclo: correr el mastering reference y confirmar en el PLC que el tag de $OUT[111] no cambia; cambiar $IN[4] desde el PLC y confirmar que di823ToolIDBit0 no lo sigue. Anotar fecha.
• Comentarios del código cambiado según docs/CONVENTIONS.md (inglés, señal con dirección y nombre); ningún encabezado de inline form ni línea dentro de un fold de form cambia sin estar declarado (F32, F21, F31).</t>
        </is>
      </c>
      <c r="I41" s="5" t="inlineStr">
        <is>
          <t>F35</t>
        </is>
      </c>
      <c r="J41" s="6" t="inlineStr">
        <is>
          <t>Requiere decisión</t>
        </is>
      </c>
      <c r="K41" s="6" t="inlineStr"/>
      <c r="L41" s="6" t="inlineStr"/>
      <c r="M41" s="6" t="inlineStr"/>
      <c r="N41" s="6" t="inlineStr"/>
      <c r="O41" s="7" t="inlineStr">
        <is>
          <t>Alta (Ethos)</t>
        </is>
      </c>
      <c r="P41" s="7" t="inlineStr">
        <is>
          <t>2026-10-04</t>
        </is>
      </c>
      <c r="Q41" s="7" t="inlineStr">
        <is>
          <t>Revisión Ethos del respaldo 658424 (v431_03_10_r1.zip del 2026-10-02).</t>
        </is>
      </c>
    </row>
    <row r="42">
      <c r="A42" s="16" t="inlineStr">
        <is>
          <t>F19</t>
        </is>
      </c>
      <c r="B42" s="5" t="inlineStr">
        <is>
          <t>Calvin #26</t>
        </is>
      </c>
      <c r="C42" s="8" t="inlineStr">
        <is>
          <t>Alto</t>
        </is>
      </c>
      <c r="D42" s="5" t="inlineStr">
        <is>
          <t>Red rabbit: el ciclo no puede dar resultado y suelta la pieza por un mapeo duplicado</t>
        </is>
      </c>
      <c r="E42" s="5" t="inlineStr">
        <is>
          <t>Código + prueba en celda</t>
        </is>
      </c>
      <c r="F42" s="5" t="inlineStr">
        <is>
          <t>Programador robot / Gestamp controles</t>
        </is>
      </c>
      <c r="G42" s="5" t="inlineStr">
        <is>
          <t>KRC/R1/Program/Styles/Options/Style1Opt10AutoRR.src, KRC/R1/Program/StylePicks/Options/style1pick1opt1AutoRR.src, KRC/R1/Program/StyleDrops/Options/style1drop1opt2AutoRR.src, KRC/R1/Program/StyleApps/Options/style1app2opt1.src, KRC/R1/Program/StyleApps/Options/style1app2opt2.src, KRC/R1/TP/GripperSpotTech/grp_data.dat</t>
        </is>
      </c>
      <c r="H42" s="5" t="inlineStr">
        <is>
          <t>• Red rabbit con la lógica de Gestamp: FAILED si hay cualquier tuerca (OR), PASSED si no hay ninguna.
• do141/do142 ya no se borran en el drop red rabbit (solo en MaintainSystem o donde lo pida el PLC).
• La cámara no escribe un resultado contrario en el red rabbit (Gestamp no la corre ahí).
• Prueba del red rabbit con la pieza red rabbit y con una pieza buena; anotar fecha y lo que ve el PLC.</t>
        </is>
      </c>
      <c r="I42" s="5" t="inlineStr">
        <is>
          <t>F46, F31, F40, F03</t>
        </is>
      </c>
      <c r="J42" s="6" t="inlineStr">
        <is>
          <t>Abierto</t>
        </is>
      </c>
      <c r="K42" s="6" t="inlineStr"/>
      <c r="L42" s="6" t="inlineStr"/>
      <c r="M42" s="6" t="inlineStr"/>
      <c r="N42" s="6" t="inlineStr"/>
      <c r="O42" s="7" t="inlineStr">
        <is>
          <t>Sin cambio</t>
        </is>
      </c>
      <c r="P42" s="7" t="inlineStr">
        <is>
          <t>2026-10-11</t>
        </is>
      </c>
      <c r="Q42" s="7" t="inlineStr">
        <is>
          <t>Respaldo del 10/10 (versión de oficina del 05/10 cargada + cambios suyos del 06 al 10/10). El red rabbit sigue dando FAILED solo con las 3 tuercas (AND, style1app2opt1.src:164) y el drop red rabbit borra do141/do142 (ya fuera del fold).</t>
        </is>
      </c>
    </row>
    <row r="43">
      <c r="A43" s="9" t="inlineStr">
        <is>
          <t>F20</t>
        </is>
      </c>
      <c r="B43" s="10" t="inlineStr">
        <is>
          <t>Ethos</t>
        </is>
      </c>
      <c r="C43" s="14" t="inlineStr">
        <is>
          <t>Medio</t>
        </is>
      </c>
      <c r="D43" s="10" t="inlineStr">
        <is>
          <t>Rechazo por nut check: Application 1 sin liberar</t>
        </is>
      </c>
      <c r="E43" s="10" t="inlineStr">
        <is>
          <t>Código + prueba en celda</t>
        </is>
      </c>
      <c r="F43" s="10" t="inlineStr">
        <is>
          <t>Programador robot / Gestamp controles</t>
        </is>
      </c>
      <c r="G43" s="10" t="inlineStr">
        <is>
          <t>KRC/R1/Program/Utilities/RejectGE4.src, KRC/R1/Program/Styles/Options/style1opt1.src, KRC/R1/Program/StyleApps/Options/style1app2opt2.src</t>
        </is>
      </c>
      <c r="H43" s="10" t="inlineStr">
        <is>
          <t>• En Style1Opt1, en el camino de rechazo por nut check se ejecuta AC_Application(1,TRUE) (o lo que pone $OUT[70] do070ApplicationClear1 ON) antes de que termine el ciclo; todo camino que pasó por AC_ApplicationCheck(1) tiene su liberación.
• Si se agregan inline forms AutomationCore, su AC_CmdParam oculto corresponde a la llamada según la convención de F21.
• Prueba en celda: con el permiso de rechazo apagado en el PLC el robot se detiene antes de P23 con mensaje y continúa al darlo; después de un rechazo por nut check el PLC ve $OUT[70] ON al terminar el ciclo. Anotar fecha y resultado.
• Comentarios del código cambiado según docs/CONVENTIONS.md (inglés, señal con dirección y nombre); ningún encabezado de inline form ni línea dentro de un fold de form cambia sin estar declarado (F32, F21, F31).</t>
        </is>
      </c>
      <c r="I43" s="10" t="inlineStr">
        <is>
          <t>F21</t>
        </is>
      </c>
      <c r="J43" s="10" t="inlineStr">
        <is>
          <t>Cerrado - auditado</t>
        </is>
      </c>
      <c r="K43" s="10" t="inlineStr"/>
      <c r="L43" s="10" t="inlineStr"/>
      <c r="M43" s="10" t="inlineStr"/>
      <c r="N43" s="10" t="inlineStr"/>
      <c r="O43" s="10" t="inlineStr">
        <is>
          <t>Cerrado - auditado</t>
        </is>
      </c>
      <c r="P43" s="10" t="inlineStr">
        <is>
          <t>2026-10-11</t>
        </is>
      </c>
      <c r="Q43" s="10" t="inlineStr">
        <is>
          <t>Respaldo del 10/10 (versión de oficina del 05/10 cargada + cambios suyos del 06 al 10/10). RejectGE4 libera Application 1 con TRIGGER (do070ApplicationClear1, rejectge4.src:44), también tras un rechazo por nut check; el reject no pide drop-off, igual que Gestamp.</t>
        </is>
      </c>
    </row>
    <row r="44">
      <c r="A44" s="16" t="inlineStr">
        <is>
          <t>F21</t>
        </is>
      </c>
      <c r="B44" s="5" t="inlineStr">
        <is>
          <t>Ethos</t>
        </is>
      </c>
      <c r="C44" s="4" t="inlineStr">
        <is>
          <t>Medio</t>
        </is>
      </c>
      <c r="D44" s="5" t="inlineStr">
        <is>
          <t>Parámetros ocultos de inline forms AutomationCore no coinciden con la llamada</t>
        </is>
      </c>
      <c r="E44" s="5" t="inlineStr">
        <is>
          <t>Código + prueba en celda</t>
        </is>
      </c>
      <c r="F44" s="5" t="inlineStr">
        <is>
          <t>Programador robot</t>
        </is>
      </c>
      <c r="G44" s="5" t="inlineStr">
        <is>
          <t>KRC/R1/Program/StylePicks/Options/style1pick1opt2.src, KRC/R1/Program/StyleApps/Options/style1app2opt2.src, KRC/R1/Program/StyleDrops/Options/style1drop1opt1.src, KRC/R1/Program/StyleDrops/Options/style1drop1opt2AutoRR.src, KRC/R1/Program/StylePicks/Options/style1pick1opt1.src, KRC/R1/Program/StylePicks/Options/style1pick1opt1AutoRR.src, KRC/R1/Program/StyleApps/Options/style1app2opt1.src</t>
        </is>
      </c>
      <c r="H44" s="5" t="inlineStr">
        <is>
          <t>• En todos los forms de AutomationCore el AC_CmdParam oculto es igual al número de la llamada (convención del respaldo de Gestamp); la auditoría lo revisa.
• Después de corregir, un ciclo de cada estación en T1 sin cambio de pickup, application ni drop-off. Anotar fecha.</t>
        </is>
      </c>
      <c r="I44" s="5" t="inlineStr">
        <is>
          <t>F32</t>
        </is>
      </c>
      <c r="J44" s="6" t="inlineStr">
        <is>
          <t>Abierto</t>
        </is>
      </c>
      <c r="K44" s="6" t="inlineStr"/>
      <c r="L44" s="6" t="inlineStr"/>
      <c r="M44" s="6" t="inlineStr"/>
      <c r="N44" s="6" t="inlineStr"/>
      <c r="O44" s="7" t="inlineStr">
        <is>
          <t>Sin cambio</t>
        </is>
      </c>
      <c r="P44" s="7" t="inlineStr">
        <is>
          <t>2026-10-11</t>
        </is>
      </c>
      <c r="Q44" s="7" t="inlineStr">
        <is>
          <t>Respaldo del 10/10 (versión de oficina del 05/10 cargada + cambios suyos del 06 al 10/10). Siguen 4 forms con AC_CmdParam oculto distinto a la llamada: style1drop1opt1.src:49 AC_DropOffCheck(1) y :108 AC_DropOff(1) con oculto 2; style1pick1opt2.src:34 AC_pickUPCheck(2) y :138 AC_pickUP(2) con oculto 1.</t>
        </is>
      </c>
    </row>
    <row r="45">
      <c r="A45" s="16" t="inlineStr">
        <is>
          <t>F22</t>
        </is>
      </c>
      <c r="B45" s="5" t="inlineStr">
        <is>
          <t>Ethos</t>
        </is>
      </c>
      <c r="C45" s="4" t="inlineStr">
        <is>
          <t>Medio</t>
        </is>
      </c>
      <c r="D45" s="5" t="inlineStr">
        <is>
          <t>Movimientos del pedestal mezclan modo base y external TCP</t>
        </is>
      </c>
      <c r="E45" s="5" t="inlineStr">
        <is>
          <t>Código + prueba en celda</t>
        </is>
      </c>
      <c r="F45" s="5" t="inlineStr">
        <is>
          <t>Ethos (Edgar) / Programador robot</t>
        </is>
      </c>
      <c r="G45" s="5" t="inlineStr">
        <is>
          <t>KRC/R1/Program/StyleApps/Options/style1app1opt1.src, KRC/R1/Program/StyleApps/Options/style1app1opt2.src, KRC/R1/Program/StyleApps/Options/style1app1opt3.src, KRC/R1/Program/StyleApps/Options/style1app1opt1.dat, KRC/R1/Program/StyleApps/Options/style1app1opt2.dat, KRC/R1/Program/StyleApps/Options/style1app1opt3.dat, KRC/R1/Program/Utilities/RejectGE4.src, KRC/R1/Program/StyleApps/Options/style1app2opt2.src, KRC/R1/System/$config.dat</t>
        </is>
      </c>
      <c r="H45" s="5" t="inlineStr">
        <is>
          <t>• La regla de frame del pedestal está anotada en la lista (qué movimientos de base 3 van en external TCP y cuáles en modo base; quién decidió y fecha).
• Cada FDAT con BASE_NO 3 usado por un movimiento tiene el IPO_FRAME que pide la regla.
• Si la regla usa external TCP, BASE_DATA[3] es el valor medido en sitio (C05) y todos los puntos de base 3 se re-enseñaron o verificaron en T1 después del cambio (lista de puntos).
• Prueba en T1 a velocidad reducida con pieza: las tres presentaciones llegan a su pose sin contacto; en el primer ciclo con soldadura CL_GunStrokePositionLPT con el gun cerrado queda en CL_GUN_WELD_MIN..MAX en cada tuerca. Anotar lectura por tuerca y fecha.
• Comentarios del código cambiado según docs/CONVENTIONS.md (inglés, señal con dirección y nombre); ningún encabezado de inline form ni línea dentro de un fold de form cambia sin estar declarado (F32, F21, F31).</t>
        </is>
      </c>
      <c r="I45" s="5" t="inlineStr">
        <is>
          <t>C05, F32</t>
        </is>
      </c>
      <c r="J45" s="6" t="inlineStr">
        <is>
          <t>Requiere decisión</t>
        </is>
      </c>
      <c r="K45" s="6" t="inlineStr"/>
      <c r="L45" s="6" t="inlineStr"/>
      <c r="M45" s="6" t="inlineStr"/>
      <c r="N45" s="6" t="inlineStr"/>
      <c r="O45" s="7" t="inlineStr">
        <is>
          <t>Alta (Ethos)</t>
        </is>
      </c>
      <c r="P45" s="7" t="inlineStr">
        <is>
          <t>2026-10-04</t>
        </is>
      </c>
      <c r="Q45" s="7" t="inlineStr">
        <is>
          <t>Revisión Ethos del respaldo 658424 (v431_03_10_r1.zip del 2026-10-02).</t>
        </is>
      </c>
    </row>
    <row r="46">
      <c r="A46" s="16" t="inlineStr">
        <is>
          <t>F23</t>
        </is>
      </c>
      <c r="B46" s="5" t="inlineStr">
        <is>
          <t>Ethos</t>
        </is>
      </c>
      <c r="C46" s="12" t="inlineStr">
        <is>
          <t>Bajo</t>
        </is>
      </c>
      <c r="D46" s="5" t="inlineStr">
        <is>
          <t>Posición del LPT armada con 3 bytes en otro orden que en R20</t>
        </is>
      </c>
      <c r="E46" s="5" t="inlineStr">
        <is>
          <t>Confirmar en sitio</t>
        </is>
      </c>
      <c r="F46" s="5" t="inlineStr">
        <is>
          <t>Puesta en marcha / Programador robot</t>
        </is>
      </c>
      <c r="G46" s="5" t="inlineStr">
        <is>
          <t>KRC/R1/System/sps.sub, KRC/R1/System/$config.dat, KRC/R1/Program/Centerline/centerline_weld.src</t>
        </is>
      </c>
      <c r="H46" s="5" t="inlineStr">
        <is>
          <t>• Formato del BTL6 confirmado (documento y página, o configuración leída del transductor) y anotado en la lista.
• La fórmula de sps.sub corresponde a ese formato; si cambia, la lista trae CL_GunStrokePositionLPT leído antes y después con gun abierto y cerrado sobre tuerca, y las ventanas (CL_GUN_WELD_MIN/MAX, CL_GUN_OPEN_MIN) siguen siendo válidas.
• Si se pasa a componer 32 bits, el cálculo no puede desbordar INT (protección como en el F23 de R20).
• Comentarios según docs/CONVENTIONS.md; el ;CHECK: (F23) de sps.sub y la nota de $config.dat se quitan o se actualizan.</t>
        </is>
      </c>
      <c r="I46" s="5" t="inlineStr"/>
      <c r="J46" s="6" t="inlineStr">
        <is>
          <t>Abierto</t>
        </is>
      </c>
      <c r="K46" s="6" t="inlineStr"/>
      <c r="L46" s="6" t="inlineStr"/>
      <c r="M46" s="6" t="inlineStr"/>
      <c r="N46" s="6" t="inlineStr"/>
      <c r="O46" s="7" t="inlineStr">
        <is>
          <t>Alta (Ethos)</t>
        </is>
      </c>
      <c r="P46" s="7" t="inlineStr">
        <is>
          <t>2026-10-04</t>
        </is>
      </c>
      <c r="Q46" s="7" t="inlineStr">
        <is>
          <t>Revisión Ethos del respaldo 658424 (v431_03_10_r1.zip del 2026-10-02).</t>
        </is>
      </c>
    </row>
    <row r="47">
      <c r="A47" s="9" t="inlineStr">
        <is>
          <t>F24</t>
        </is>
      </c>
      <c r="B47" s="10" t="inlineStr">
        <is>
          <t>Calvin #27</t>
        </is>
      </c>
      <c r="C47" s="11" t="inlineStr">
        <is>
          <t>Bajo</t>
        </is>
      </c>
      <c r="D47" s="10" t="inlineStr">
        <is>
          <t>Camino de retry de soldadura muerto: NUT_WELD_RETRY nunca es TRUE</t>
        </is>
      </c>
      <c r="E47" s="10" t="inlineStr">
        <is>
          <t>Código</t>
        </is>
      </c>
      <c r="F47" s="10" t="inlineStr">
        <is>
          <t>Programador robot (prueba en celda)</t>
        </is>
      </c>
      <c r="G47" s="10" t="inlineStr">
        <is>
          <t>KRC/R1/Program/StyleApps/Options/style1app1opt1.src, KRC/R1/Program/StyleApps/Options/style1app1opt2.src, KRC/R1/Program/StyleApps/Options/style1app1opt3.src, KRC/R1/System/$config.dat</t>
        </is>
      </c>
      <c r="H47" s="10" t="inlineStr">
        <is>
          <t>• Decisión anotada: A (borrar), Ethos, 2026-10-04, por el punto 17 de Gestamp.
• En KRC/R1 no aparece NUT_WELD_RETRY ni RETRY_NUT1.
• Un ciclo completo en automático con las 3 tuercas sin errores. Anotar fecha.</t>
        </is>
      </c>
      <c r="I47" s="10" t="inlineStr">
        <is>
          <t>G17</t>
        </is>
      </c>
      <c r="J47" s="10" t="inlineStr">
        <is>
          <t>Se cierra con otro punto</t>
        </is>
      </c>
      <c r="K47" s="10" t="inlineStr"/>
      <c r="L47" s="10" t="inlineStr"/>
      <c r="M47" s="10" t="inlineStr"/>
      <c r="N47" s="10" t="inlineStr"/>
      <c r="O47" s="10" t="inlineStr">
        <is>
          <t>Cambio de base</t>
        </is>
      </c>
      <c r="P47" s="10" t="inlineStr">
        <is>
          <t>2026-10-11</t>
        </is>
      </c>
      <c r="Q47" s="10" t="inlineStr">
        <is>
          <t>Base = programa del programador (respaldo del 2026-10-05 14:46). El camino de retry sigue muerto; se resuelve en G17.</t>
        </is>
      </c>
    </row>
    <row r="48">
      <c r="A48" s="16" t="inlineStr">
        <is>
          <t>F25</t>
        </is>
      </c>
      <c r="B48" s="5" t="inlineStr">
        <is>
          <t>Calvin #19</t>
        </is>
      </c>
      <c r="C48" s="12" t="inlineStr">
        <is>
          <t>Bajo</t>
        </is>
      </c>
      <c r="D48" s="5" t="inlineStr">
        <is>
          <t>Feed de respaldo en CENTERLINE_WELD: pulso de feed de duración cero</t>
        </is>
      </c>
      <c r="E48" s="5" t="inlineStr">
        <is>
          <t>Código + prueba en celda</t>
        </is>
      </c>
      <c r="F48" s="5" t="inlineStr">
        <is>
          <t>Programador robot</t>
        </is>
      </c>
      <c r="G48" s="5" t="inlineStr">
        <is>
          <t>KRC/R1/Program/Centerline/centerline_weld.src, KRC/R1/System/$config.dat</t>
        </is>
      </c>
      <c r="H48" s="5" t="inlineStr">
        <is>
          <t>• En centerline_weld.src no queda ninguna escritura a ON de $OUT[476] dopw1_StartFeed ni de $OUT[503] do503QFPAdvance: la alimentación queda solo en la secuencia de preload.
• Si NUT_READY es FALSE al entrar, CENTERLINE_WELD no cierra clamp ni gun sin un preload terminado: (a) se detiene con mensaje y $OUT[4] do004ProcessFault ON; o (b) pide un preload (solo si NUTCYCLE_ACTIVE es FALSE) y espera NUT_READY con timeout, y al vencer da mensaje y $OUT[4].
• Prueba en T1 sin pieza, con el robot fuera del pedestal y nadie en él: NUT_READY = FALSE por corrección de variable y CENTERLINE_WELD solo: con (a) se detiene con mensaje; con (b) pide o espera el preload y, con el preload impedido, da timeout con mensaje sin cerrar clamp ni gun. Anotar opción, fecha y resultado.
• Comentarios del código cambiado según docs/CONVENTIONS.md (inglés, señal con dirección y nombre); ningún encabezado de inline form ni línea dentro de un fold de form cambia sin estar declarado (F32, F21, F31).</t>
        </is>
      </c>
      <c r="I48" s="5" t="inlineStr">
        <is>
          <t>F11, F14</t>
        </is>
      </c>
      <c r="J48" s="6" t="inlineStr">
        <is>
          <t>Abierto</t>
        </is>
      </c>
      <c r="K48" s="6" t="inlineStr"/>
      <c r="L48" s="6" t="inlineStr"/>
      <c r="M48" s="6" t="inlineStr"/>
      <c r="N48" s="6" t="inlineStr"/>
      <c r="O48" s="7" t="inlineStr">
        <is>
          <t>Decisión</t>
        </is>
      </c>
      <c r="P48" s="7" t="inlineStr">
        <is>
          <t>2026-10-04</t>
        </is>
      </c>
      <c r="Q48" s="7" t="inlineStr">
        <is>
          <t>Se mantiene el criterio de F25 frente a la propuesta de Calvin #19, igual que en R20 (decisión de Edgar, 2026-10-04).</t>
        </is>
      </c>
    </row>
    <row r="49">
      <c r="A49" s="16" t="inlineStr">
        <is>
          <t>F26</t>
        </is>
      </c>
      <c r="B49" s="5" t="inlineStr">
        <is>
          <t>Ethos</t>
        </is>
      </c>
      <c r="C49" s="12" t="inlineStr">
        <is>
          <t>Bajo</t>
        </is>
      </c>
      <c r="D49" s="5" t="inlineStr">
        <is>
          <t>Timers $TIMER[10..15] de PRELOAD y CENTERLINE_WELD sin constantes con nombre</t>
        </is>
      </c>
      <c r="E49" s="5" t="inlineStr">
        <is>
          <t>Código</t>
        </is>
      </c>
      <c r="F49" s="5" t="inlineStr">
        <is>
          <t>Programador robot</t>
        </is>
      </c>
      <c r="G49" s="5" t="inlineStr">
        <is>
          <t>KRC/R1/Program/Centerline/PRELOAD.src, KRC/R1/Program/Centerline/centerline_weld.src, KRC/R1/System/$config.dat</t>
        </is>
      </c>
      <c r="H49" s="5" t="inlineStr">
        <is>
          <t>• $config.dat declara un nombre para cada índice de $TIMER que usan PRELOAD y CENTERLINE_WELD, con comentario de dueño y uso; cada nombre declarado se usa.
• En PRELOAD.src y centerline_weld.src no queda ningún $TIMER[n] ni $TIMER_STOP[n] con índice numérico.
• Fuera de PRELOAD y CENTERLINE_WELD ningún módulo que se ejecute usa esos índices; tampoco son timers del proveedor (torque monitoring 7, 8 y 18; NutWeld 41 y 42; AutomationCore 55).
• Al completar un preload, PRELOAD detiene $TIMER[13] igual que los de feed, advance y return.
• Comentarios del código cambiado según docs/CONVENTIONS.md (inglés, señal con dirección y nombre); ningún encabezado de inline form ni línea dentro de un fold de form cambia sin estar declarado (F32, F21, F31).</t>
        </is>
      </c>
      <c r="I49" s="5" t="inlineStr"/>
      <c r="J49" s="6" t="inlineStr">
        <is>
          <t>Abierto</t>
        </is>
      </c>
      <c r="K49" s="6" t="inlineStr"/>
      <c r="L49" s="6" t="inlineStr"/>
      <c r="M49" s="6" t="inlineStr"/>
      <c r="N49" s="6" t="inlineStr"/>
      <c r="O49" s="7" t="inlineStr">
        <is>
          <t>Nota (F52)</t>
        </is>
      </c>
      <c r="P49" s="7" t="inlineStr">
        <is>
          <t>2026-10-07</t>
        </is>
      </c>
      <c r="Q49" s="7" t="inlineStr">
        <is>
          <t>PRELOAD ya no usa $TIMER[12]; la medición de tiempo ciclo usa $TIMER[20]. Dueños anotados en $config.dat.</t>
        </is>
      </c>
    </row>
    <row r="50">
      <c r="A50" s="16" t="inlineStr">
        <is>
          <t>F27</t>
        </is>
      </c>
      <c r="B50" s="5" t="inlineStr">
        <is>
          <t>Ethos</t>
        </is>
      </c>
      <c r="C50" s="12" t="inlineStr">
        <is>
          <t>Bajo</t>
        </is>
      </c>
      <c r="D50" s="5" t="inlineStr">
        <is>
          <t>Confirmar en celda funciones de comentarios corregidos: blow-off, pines, programa Bosch</t>
        </is>
      </c>
      <c r="E50" s="5" t="inlineStr">
        <is>
          <t>Confirmar en sitio</t>
        </is>
      </c>
      <c r="F50" s="5" t="inlineStr">
        <is>
          <t>Puesta en marcha / Gestamp controles</t>
        </is>
      </c>
      <c r="G50" s="5" t="inlineStr">
        <is>
          <t>KRC/R1/Program/Centerline/centerline_weld.src, KRC/R1/Program/Centerline/PRELOAD.src</t>
        </is>
      </c>
      <c r="H50" s="5" t="inlineStr">
        <is>
          <t>• En la lista, para cada uno de los tres puntos: resultado, cómo se confirmó, quién y fecha.
• Los cinco ;CHECK: que citan (F27) se quitaron o se cambiaron por un ;NOTE: con el hecho confirmado.
• Ningún punto se cierra con una contradicción pendiente: si la confirmación contradijo al código, el respaldo trae la corrección o la lista remite al punto nuevo.
• Comentarios según docs/CONVENTIONS.md; ningún encabezado de inline form ni línea dentro de un fold de form cambia sin estar declarado (F32, F21, F31).</t>
        </is>
      </c>
      <c r="I50" s="5" t="inlineStr"/>
      <c r="J50" s="6" t="inlineStr">
        <is>
          <t>Abierto</t>
        </is>
      </c>
      <c r="K50" s="6" t="inlineStr"/>
      <c r="L50" s="6" t="inlineStr"/>
      <c r="M50" s="6" t="inlineStr"/>
      <c r="N50" s="6" t="inlineStr"/>
      <c r="O50" s="7" t="inlineStr">
        <is>
          <t>Alta (Ethos)</t>
        </is>
      </c>
      <c r="P50" s="7" t="inlineStr">
        <is>
          <t>2026-10-04</t>
        </is>
      </c>
      <c r="Q50" s="7" t="inlineStr">
        <is>
          <t>Revisión Ethos del respaldo 658424 (v431_03_10_r1.zip del 2026-10-02).</t>
        </is>
      </c>
    </row>
    <row r="51">
      <c r="A51" s="9" t="inlineStr">
        <is>
          <t>F28</t>
        </is>
      </c>
      <c r="B51" s="10" t="inlineStr">
        <is>
          <t>Ethos</t>
        </is>
      </c>
      <c r="C51" s="11" t="inlineStr">
        <is>
          <t>Bajo</t>
        </is>
      </c>
      <c r="D51" s="10" t="inlineStr">
        <is>
          <t>Sensor de tuerca leído al llegar al punto; el dwell iba después de la lectura</t>
        </is>
      </c>
      <c r="E51" s="10" t="inlineStr">
        <is>
          <t>Código + prueba en celda</t>
        </is>
      </c>
      <c r="F51" s="10" t="inlineStr">
        <is>
          <t>Programador robot (prueba en celda)</t>
        </is>
      </c>
      <c r="G51" s="10" t="inlineStr">
        <is>
          <t>KRC/R1/Program/StyleApps/Options/style1app2opt1.src</t>
        </is>
      </c>
      <c r="H51" s="10" t="inlineStr">
        <is>
          <t>• En style1app2opt1, en los tres bloques NUT CHECK, PARTPRESENTn se asigna después de WAIT SEC 0.2.
• Prueba en automático, override 100 %, fuera de dry cycle y con option 1: ciclos consecutivos con pieza buena sin ningún rechazo por la revisión de tuercas; un ciclo con pieza red rabbit (option 12) deja PARTPRESENT1..3 en FALSE en el display de variables antes del drop. Anotar fecha, número de ciclos y resultado.</t>
        </is>
      </c>
      <c r="I51" s="10" t="inlineStr">
        <is>
          <t>G13</t>
        </is>
      </c>
      <c r="J51" s="10" t="inlineStr">
        <is>
          <t>Se cierra con otro punto</t>
        </is>
      </c>
      <c r="K51" s="10" t="inlineStr"/>
      <c r="L51" s="10" t="inlineStr"/>
      <c r="M51" s="10" t="inlineStr"/>
      <c r="N51" s="10" t="inlineStr"/>
      <c r="O51" s="10" t="inlineStr">
        <is>
          <t>Cambio de base</t>
        </is>
      </c>
      <c r="P51" s="10" t="inlineStr">
        <is>
          <t>2026-10-11</t>
        </is>
      </c>
      <c r="Q51" s="10" t="inlineStr">
        <is>
          <t>Base = programa del programador (respaldo del 2026-10-05 14:46). El WAIT SEC 0.2 sigue después de leer $IN[227]; se resuelve en G13.</t>
        </is>
      </c>
    </row>
    <row r="52">
      <c r="A52" s="16" t="inlineStr">
        <is>
          <t>F29</t>
        </is>
      </c>
      <c r="B52" s="5" t="inlineStr">
        <is>
          <t>Ethos</t>
        </is>
      </c>
      <c r="C52" s="12" t="inlineStr">
        <is>
          <t>Bajo</t>
        </is>
      </c>
      <c r="D52" s="5" t="inlineStr">
        <is>
          <t>Faro KL50L2: lógica muerta y un bit sin mapear</t>
        </is>
      </c>
      <c r="E52" s="5" t="inlineStr">
        <is>
          <t>Código + prueba en celda</t>
        </is>
      </c>
      <c r="F52" s="5" t="inlineStr">
        <is>
          <t>Programador robot / Puesta en marcha</t>
        </is>
      </c>
      <c r="G52" s="5" t="inlineStr">
        <is>
          <t>KRC/R1/System/sps.sub, KRC/R1/System/$config.dat, C/KRC/Roboter/Config/User/Common/KRC_IO.xml</t>
        </is>
      </c>
      <c r="H52" s="5" t="inlineStr">
        <is>
          <t>• Mapa de bits del KL50L2 de este pedestal confirmado (qué bit es cada color) y anotado.
• Con (a): la polaridad de $IN[480] confirmada en celda; el bloque lee $IN[480], no $OUT[477]/$OUT[478], y en cada ciclo deja cada bit usado en un estado definido; solo usa bits mapeados en KRC_IO.xml. Con (b): el bloque ya no existe y ningún módulo escribe esos bits.
• Con (a): prueba en celda con la tolva en nivel bajo y en nivel OK; el faro cambia con el nivel. Anotar fecha.
• Comentarios del código cambiado según docs/CONVENTIONS.md (inglés, señal con dirección y nombre); ningún encabezado de inline form ni línea dentro de un fold de form cambia sin estar declarado (F32, F21, F31).</t>
        </is>
      </c>
      <c r="I52" s="5" t="inlineStr"/>
      <c r="J52" s="6" t="inlineStr">
        <is>
          <t>Abierto</t>
        </is>
      </c>
      <c r="K52" s="6" t="inlineStr"/>
      <c r="L52" s="6" t="inlineStr"/>
      <c r="M52" s="6" t="inlineStr"/>
      <c r="N52" s="6" t="inlineStr"/>
      <c r="O52" s="7" t="inlineStr">
        <is>
          <t>Alta (Ethos)</t>
        </is>
      </c>
      <c r="P52" s="7" t="inlineStr">
        <is>
          <t>2026-10-04</t>
        </is>
      </c>
      <c r="Q52" s="7" t="inlineStr">
        <is>
          <t>Revisión Ethos del respaldo 658424 (v431_03_10_r1.zip del 2026-10-02).</t>
        </is>
      </c>
    </row>
    <row r="53">
      <c r="A53" s="16" t="inlineStr">
        <is>
          <t>F30</t>
        </is>
      </c>
      <c r="B53" s="5" t="inlineStr">
        <is>
          <t>Ethos</t>
        </is>
      </c>
      <c r="C53" s="12" t="inlineStr">
        <is>
          <t>Bajo</t>
        </is>
      </c>
      <c r="D53" s="5" t="inlineStr">
        <is>
          <t>Style1Opt1 sin GOTO: un camino IF/ELSE por ciclo</t>
        </is>
      </c>
      <c r="E53" s="5" t="inlineStr">
        <is>
          <t>Código + prueba en celda</t>
        </is>
      </c>
      <c r="F53" s="5" t="inlineStr">
        <is>
          <t>Programador robot (prueba en celda)</t>
        </is>
      </c>
      <c r="G53" s="5" t="inlineStr">
        <is>
          <t>KRC/R1/Program/Styles/Options/style1opt1.src</t>
        </is>
      </c>
      <c r="H53" s="5" t="inlineStr">
        <is>
          <t>• En style1opt1.src no hay GOTO ni etiquetas y se conservan las tres propiedades: (1) después de RejectGE4() no corren ni la cámara ni el drop; (2) un ciclo de estación 1 no corre la estación 2; (3) todos los caminos pasan por el borrado de PARTPRESENT1..3.
• Prueba en celda: un ciclo bueno de estación 1, uno de estación 2, un rechazo por nut check y uno por cámara (si se puede provocar). Anotar fecha y resultado.</t>
        </is>
      </c>
      <c r="I53" s="5" t="inlineStr"/>
      <c r="J53" s="6" t="inlineStr">
        <is>
          <t>En proceso</t>
        </is>
      </c>
      <c r="K53" s="6" t="inlineStr"/>
      <c r="L53" s="6" t="inlineStr"/>
      <c r="M53" s="6" t="inlineStr"/>
      <c r="N53" s="6" t="inlineStr"/>
      <c r="O53" s="7" t="inlineStr">
        <is>
          <t>Cambio de base</t>
        </is>
      </c>
      <c r="P53" s="7" t="inlineStr">
        <is>
          <t>2026-10-11</t>
        </is>
      </c>
      <c r="Q53" s="7" t="inlineStr">
        <is>
          <t>Base = programa del programador (respaldo del 2026-10-05 14:46). Style1Opt1 (Styles/optiones/style1opt1.src) no tiene GOTO y cumple en código las tres propiedades: después de RejectGE4() no corre nada más, la estación 1 no corre la 2 y todos los caminos borran PARTPRESENT1..3. Falta la prueba en celda.</t>
        </is>
      </c>
    </row>
    <row r="54">
      <c r="A54" s="16" t="inlineStr">
        <is>
          <t>F31</t>
        </is>
      </c>
      <c r="B54" s="5" t="inlineStr">
        <is>
          <t>Calvin #25</t>
        </is>
      </c>
      <c r="C54" s="4" t="inlineStr">
        <is>
          <t>Medio</t>
        </is>
      </c>
      <c r="D54" s="5" t="inlineStr">
        <is>
          <t>Forms GripperTech: parámetros ocultos de otro gripper; drop red rabbit con el gripper 3</t>
        </is>
      </c>
      <c r="E54" s="5" t="inlineStr">
        <is>
          <t>Código + prueba en celda</t>
        </is>
      </c>
      <c r="F54" s="5" t="inlineStr">
        <is>
          <t>Programador robot / Puesta en marcha</t>
        </is>
      </c>
      <c r="G54"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54" s="5" t="inlineStr">
        <is>
          <t>• En los módulos listados cada form Gripper SET/CHECK tiene en su línea ;Params el mismo gripper y estado que su llamada (hecho en oficina para picks y drop al conveyor) y no queda GRPg_Check que repita el check del SET anterior.
• style1drop1opt2AutoRR no escribe $OUT[249]/$OUT[250] a mano y no usa forms del gripper 3; ningún módulo de producción usa los grippers 2-4.
• Prueba en el smartPAD: abrir y confirmar (Cmd OK) un form SET de cada módulo; en el respaldo siguiente las llamadas no cambiaron. En T1 sin pieza: con un switch del gripper 1 desconectado el check da su error (estrategia 1) en pick, drop y reject. Anotar fecha.
• Comentarios del código cambiado según docs/CONVENTIONS.md (inglés, señal con dirección y nombre); ningún encabezado de inline form ni línea dentro de un fold de form cambia sin estar declarado (F32, F21, F31).</t>
        </is>
      </c>
      <c r="I54" s="5" t="inlineStr">
        <is>
          <t>F33, F19</t>
        </is>
      </c>
      <c r="J54" s="6" t="inlineStr">
        <is>
          <t>Abierto</t>
        </is>
      </c>
      <c r="K54" s="6" t="inlineStr"/>
      <c r="L54" s="6" t="inlineStr"/>
      <c r="M54" s="6" t="inlineStr"/>
      <c r="N54" s="6" t="inlineStr"/>
      <c r="O54" s="7" t="inlineStr">
        <is>
          <t>Alta (Ethos)</t>
        </is>
      </c>
      <c r="P54" s="7" t="inlineStr">
        <is>
          <t>2026-10-04</t>
        </is>
      </c>
      <c r="Q54" s="7" t="inlineStr">
        <is>
          <t>Revisión Ethos del respaldo 658424 (v431_03_10_r1.zip del 2026-10-02).</t>
        </is>
      </c>
    </row>
    <row r="55">
      <c r="A55" s="9" t="inlineStr">
        <is>
          <t>F32</t>
        </is>
      </c>
      <c r="B55" s="10" t="inlineStr">
        <is>
          <t>Calvin #28</t>
        </is>
      </c>
      <c r="C55" s="14" t="inlineStr">
        <is>
          <t>Medio</t>
        </is>
      </c>
      <c r="D55" s="10" t="inlineStr">
        <is>
          <t>TRIGGERs y resets escritos a mano dentro de folds de inline form</t>
        </is>
      </c>
      <c r="E55" s="10" t="inlineStr">
        <is>
          <t>Código + prueba en celda</t>
        </is>
      </c>
      <c r="F55" s="10" t="inlineStr">
        <is>
          <t>Programador robot (prueba en celda)</t>
        </is>
      </c>
      <c r="G55" s="10"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55" s="10" t="inlineStr">
        <is>
          <t>• Los folds PTP P12 (style1pick1opt1, style1pick1opt1AutoRR), P10 (style1pick1opt2) y P0 (style1app1opt1 y opt2) contienen solo las líneas que genera el form; los TRIGGER están fuera, inmediatamente antes.
• El fold DropOff[2] Reset de style1drop1opt2AutoRR contiene solo su ;Params y AC_DropOff (2,True); los resets se ejecutan después.
• Los encabezados ;FOLD ... ;%{PE} de los folds tocados son idénticos a los del respaldo recibido: no se reabrió ningún form.
• Prueba en T1 o en automático con override reducido, fuera de dry cycle: en un ciclo completo NUT_READY y NEXT_NUT_READY pasan a FALSE y vuelven a TRUE una vez por tuerca (3 preloads por pieza). Un ciclo red rabbit deja $OUT[141], $OUT[142] y PARTPRESENT1..3 en FALSE. Anotar fecha.</t>
        </is>
      </c>
      <c r="I55" s="10" t="inlineStr">
        <is>
          <t>G20</t>
        </is>
      </c>
      <c r="J55" s="10" t="inlineStr">
        <is>
          <t>Se cierra con otro punto</t>
        </is>
      </c>
      <c r="K55" s="10" t="inlineStr"/>
      <c r="L55" s="10" t="inlineStr"/>
      <c r="M55" s="10" t="inlineStr"/>
      <c r="N55" s="10" t="inlineStr"/>
      <c r="O55" s="10" t="inlineStr">
        <is>
          <t>Cambio de base</t>
        </is>
      </c>
      <c r="P55" s="10" t="inlineStr">
        <is>
          <t>2026-10-11</t>
        </is>
      </c>
      <c r="Q55" s="10" t="inlineStr">
        <is>
          <t>Base = programa del programador (respaldo del 2026-10-05 14:46). Mismas líneas escritas a mano dentro de folds que G20.</t>
        </is>
      </c>
    </row>
    <row r="56">
      <c r="A56" s="16" t="inlineStr">
        <is>
          <t>F33</t>
        </is>
      </c>
      <c r="B56" s="5" t="inlineStr">
        <is>
          <t>Ethos</t>
        </is>
      </c>
      <c r="C56" s="4" t="inlineStr">
        <is>
          <t>Medio</t>
        </is>
      </c>
      <c r="D56" s="5" t="inlineStr">
        <is>
          <t>GripperConfig.xml del HMI desincronizado con grp_data.dat</t>
        </is>
      </c>
      <c r="E56" s="5" t="inlineStr">
        <is>
          <t>WorkVisual / configuración</t>
        </is>
      </c>
      <c r="F56" s="5" t="inlineStr">
        <is>
          <t>Programador robot</t>
        </is>
      </c>
      <c r="G56" s="5" t="inlineStr">
        <is>
          <t>C/KRC/User/TP/Gripper_SpotTech/GripperConfig.xml, KRC/R1/TP/GripperSpotTech/grp_data.dat</t>
        </is>
      </c>
      <c r="H56" s="5" t="inlineStr">
        <is>
          <t>• Control en cada respaldo mientras el punto esté abierto: grp_data.dat conserva GRPg_Grp[1] con Act TRUE, salidas 249/250 y entradas 257/258 (nadie guardó desde el HMI).
• Para cerrar, el GripperConfig.xml del respaldo tiene el gripper 1 activo con salidas 249/250 y entradas 257/258 sin GhostMode, y los valores por estado coinciden con grp_data.dat.
• Guardado de prueba desde el HMI hecho entre dos respaldos: GRPg_Grp, GRPg_GrpPar y GRPg_State del gripper 1 no cambian, y el drop red rabbit sigue soltando (o F19/F31 ya lo pasaron al gripper 1).</t>
        </is>
      </c>
      <c r="I56" s="5" t="inlineStr">
        <is>
          <t>F31</t>
        </is>
      </c>
      <c r="J56" s="6" t="inlineStr">
        <is>
          <t>Abierto</t>
        </is>
      </c>
      <c r="K56" s="6" t="inlineStr"/>
      <c r="L56" s="6" t="inlineStr"/>
      <c r="M56" s="6" t="inlineStr"/>
      <c r="N56" s="6" t="inlineStr"/>
      <c r="O56" s="7" t="inlineStr">
        <is>
          <t>Alta (Ethos)</t>
        </is>
      </c>
      <c r="P56" s="7" t="inlineStr">
        <is>
          <t>2026-10-04</t>
        </is>
      </c>
      <c r="Q56" s="7" t="inlineStr">
        <is>
          <t>Revisión Ethos del respaldo 658424 (v431_03_10_r1.zip del 2026-10-02).</t>
        </is>
      </c>
    </row>
    <row r="57">
      <c r="A57" s="16" t="inlineStr">
        <is>
          <t>F34</t>
        </is>
      </c>
      <c r="B57" s="5" t="inlineStr">
        <is>
          <t>Ethos</t>
        </is>
      </c>
      <c r="C57" s="12" t="inlineStr">
        <is>
          <t>Bajo</t>
        </is>
      </c>
      <c r="D57" s="5" t="inlineStr">
        <is>
          <t>CENTERLINE_HOME: polaridad de $OUT[473] y falta el reset del Bosch</t>
        </is>
      </c>
      <c r="E57" s="5" t="inlineStr">
        <is>
          <t>Código + prueba en celda</t>
        </is>
      </c>
      <c r="F57" s="5" t="inlineStr">
        <is>
          <t>Programador robot / Puesta en marcha</t>
        </is>
      </c>
      <c r="G57" s="5" t="inlineStr">
        <is>
          <t>KRC/R1/Program/Centerline/CENTERLINE_HOME.src, KRC/R1/Program/Centerline/centerline_weld.src</t>
        </is>
      </c>
      <c r="H57" s="5" t="inlineStr">
        <is>
          <t>• En la lista: función física de $OUT[473] y su estado de reposo, cómo se confirmó y fecha.
• CENTERLINE_HOME y CENTERLINE_WELD escriben el mismo valor de reposo para $OUT[473].
• CENTERLINE_HOME pone $OUT[483] dopw1_WeldInit OFF, $OUT[481] dopw1_WeldContactEnable OFF, $OUT[482] dopw1_WeldOnExternal OFF y gdopw1_SpotNumber = 0.
• Prueba en T1 sin pieza, robot fuera del pedestal y nadie en él: poner $OUT[481] y $OUT[482] en ON y gdopw1_SpotNumber = 2 desde el display, correr CENTERLINE_HOME y verificar los resets y $OUT[473] en el reposo confirmado. Anotar fecha.
• Comentarios del código cambiado según docs/CONVENTIONS.md (inglés, señal con dirección y nombre); ningún encabezado de inline form ni línea dentro de un fold de form cambia sin estar declarado (F32, F21, F31).</t>
        </is>
      </c>
      <c r="I57" s="5" t="inlineStr"/>
      <c r="J57" s="6" t="inlineStr">
        <is>
          <t>Requiere decisión</t>
        </is>
      </c>
      <c r="K57" s="6" t="inlineStr"/>
      <c r="L57" s="6" t="inlineStr"/>
      <c r="M57" s="6" t="inlineStr"/>
      <c r="N57" s="6" t="inlineStr"/>
      <c r="O57" s="7" t="inlineStr">
        <is>
          <t>Alta (Ethos)</t>
        </is>
      </c>
      <c r="P57" s="7" t="inlineStr">
        <is>
          <t>2026-10-04</t>
        </is>
      </c>
      <c r="Q57" s="7" t="inlineStr">
        <is>
          <t>Revisión Ethos del respaldo 658424 (v431_03_10_r1.zip del 2026-10-02).</t>
        </is>
      </c>
    </row>
    <row r="58">
      <c r="A58" s="16" t="inlineStr">
        <is>
          <t>F35</t>
        </is>
      </c>
      <c r="B58" s="5" t="inlineStr">
        <is>
          <t>Ethos</t>
        </is>
      </c>
      <c r="C58" s="4" t="inlineStr">
        <is>
          <t>Medio</t>
        </is>
      </c>
      <c r="D58" s="5" t="inlineStr">
        <is>
          <t>El mastering reference deja $OUT[930] en ON para siempre</t>
        </is>
      </c>
      <c r="E58" s="5" t="inlineStr">
        <is>
          <t>Código + prueba en celda</t>
        </is>
      </c>
      <c r="F58" s="5" t="inlineStr">
        <is>
          <t>Programador robot</t>
        </is>
      </c>
      <c r="G58" s="5" t="inlineStr">
        <is>
          <t>KRC/R1/Program/masref_user.src, KRC/R1/System/masref_main.src</t>
        </is>
      </c>
      <c r="H58" s="5" t="inlineStr">
        <is>
          <t>• En masref_user.src, MASREFBACKG1 termina con do930MasterRefInProcess = FALSE después del último movimiento; MASREFSTARTG1 es el único TRUE.
• Prueba en T1 (sin pieza en el gripper): correr el mastering reference; $OUT[930] está en ON durante la prueba y en OFF al terminar; el PLC ve el tag de $OUT[111] en OFF al final (F18). Anotar fecha.
• Comentarios del código cambiado según docs/CONVENTIONS.md (inglés, señal con dirección y nombre); ningún encabezado de inline form ni línea dentro de un fold de form cambia sin estar declarado (F32, F21, F31).</t>
        </is>
      </c>
      <c r="I58" s="5" t="inlineStr">
        <is>
          <t>F18</t>
        </is>
      </c>
      <c r="J58" s="6" t="inlineStr">
        <is>
          <t>Abierto</t>
        </is>
      </c>
      <c r="K58" s="6" t="inlineStr"/>
      <c r="L58" s="6" t="inlineStr"/>
      <c r="M58" s="6" t="inlineStr"/>
      <c r="N58" s="6" t="inlineStr"/>
      <c r="O58" s="7" t="inlineStr">
        <is>
          <t>Nota</t>
        </is>
      </c>
      <c r="P58" s="7" t="inlineStr">
        <is>
          <t>2026-10-11</t>
        </is>
      </c>
      <c r="Q58" s="7" t="inlineStr">
        <is>
          <t>Respaldo del 10/10 (versión de oficina del 05/10 cargada + cambios suyos del 06 al 10/10). XREFSWITCH (switch de referencia) re-enseñado ~1 mm.</t>
        </is>
      </c>
    </row>
    <row r="59">
      <c r="A59" s="9" t="inlineStr">
        <is>
          <t>F36</t>
        </is>
      </c>
      <c r="B59" s="10" t="inlineStr">
        <is>
          <t>Ethos</t>
        </is>
      </c>
      <c r="C59" s="11" t="inlineStr">
        <is>
          <t>Bajo</t>
        </is>
      </c>
      <c r="D59" s="10" t="inlineStr">
        <is>
          <t>$IN[227] declarado con dos nombres (NUT_PRESENT1, di227SensorCamera)</t>
        </is>
      </c>
      <c r="E59" s="10" t="inlineStr">
        <is>
          <t>Código</t>
        </is>
      </c>
      <c r="F59" s="10" t="inlineStr">
        <is>
          <t>Programador robot (prueba en celda)</t>
        </is>
      </c>
      <c r="G59" s="10" t="inlineStr">
        <is>
          <t>KRC/R1/System/$config.dat, KRC/R1/TP/AutomationCore/automationcoreroutines.dat, KRC/R1/Program/StyleApps/Options/style1app2opt1.src, KRC/R1/Program/Styles/Options/style1opt1.src, KRC/R1/Program/Styles/Options/Style1Opt10AutoRR.src</t>
        </is>
      </c>
      <c r="H59" s="10" t="inlineStr">
        <is>
          <t>• En todo KRC/ del respaldo, $IN[227] tiene una sola declaración SIGNAL: di227NutPresent1.
• NUT_PRESENT1 y di227SensorCamera ya no aparecen en código ni declaraciones de KRC/.
• La edición en automationcoreroutines.dat aparece en la lista de ediciones del integrador en archivos del proveedor (C28).
• El programa carga sin errores de compilación (captura del navegador del smartPAD sin módulos en rojo). Un ciclo con option 1 lee las 3 tuercas (PARTPRESENT1..3 en TRUE en el display de variables). Anotar fecha.</t>
        </is>
      </c>
      <c r="I59" s="10" t="inlineStr">
        <is>
          <t>C28</t>
        </is>
      </c>
      <c r="J59" s="10" t="inlineStr">
        <is>
          <t>Cerrado - auditado</t>
        </is>
      </c>
      <c r="K59" s="10" t="inlineStr"/>
      <c r="L59" s="10" t="inlineStr"/>
      <c r="M59" s="10" t="inlineStr"/>
      <c r="N59" s="10" t="inlineStr"/>
      <c r="O59" s="10" t="inlineStr">
        <is>
          <t>Cerrado - auditado</t>
        </is>
      </c>
      <c r="P59" s="10" t="inlineStr">
        <is>
          <t>2026-10-11</t>
        </is>
      </c>
      <c r="Q59" s="10" t="inlineStr">
        <is>
          <t>Respaldo del 10/10 (versión de oficina del 05/10 cargada + cambios suyos del 06 al 10/10). $IN[227] tiene una sola declaración: di227NutPresent1.</t>
        </is>
      </c>
    </row>
    <row r="60">
      <c r="A60" s="9" t="inlineStr">
        <is>
          <t>F37</t>
        </is>
      </c>
      <c r="B60" s="10" t="inlineStr">
        <is>
          <t>Calvin #1</t>
        </is>
      </c>
      <c r="C60" s="18" t="inlineStr">
        <is>
          <t>-</t>
        </is>
      </c>
      <c r="D60" s="10" t="inlineStr">
        <is>
          <t>Presión de intensificado no confirmada antes de weld start: no aplica en R10</t>
        </is>
      </c>
      <c r="E60" s="10" t="inlineStr">
        <is>
          <t>Sin acción</t>
        </is>
      </c>
      <c r="F60" s="10" t="inlineStr">
        <is>
          <t>Programador robot</t>
        </is>
      </c>
      <c r="G60" s="10" t="inlineStr">
        <is>
          <t>KRC/R1/Program/Centerline/centerline_weld.src</t>
        </is>
      </c>
      <c r="H60" s="10" t="inlineStr">
        <is>
          <t>• Se reabre si la espera de $IN[479] dipw1_IntensfPresOk de CENTERLINE_WELD se desactiva o se quita.</t>
        </is>
      </c>
      <c r="I60" s="10" t="inlineStr">
        <is>
          <t>F15, F44</t>
        </is>
      </c>
      <c r="J60" s="10" t="inlineStr">
        <is>
          <t>No aplica</t>
        </is>
      </c>
      <c r="K60" s="10" t="inlineStr"/>
      <c r="L60" s="10" t="inlineStr"/>
      <c r="M60" s="10" t="inlineStr"/>
      <c r="N60" s="10" t="inlineStr"/>
      <c r="O60" s="10" t="inlineStr">
        <is>
          <t>Alta (Calvin)</t>
        </is>
      </c>
      <c r="P60" s="10" t="inlineStr">
        <is>
          <t>2026-10-04</t>
        </is>
      </c>
      <c r="Q60" s="10" t="inlineStr">
        <is>
          <t>Revisión Ethos del respaldo 658424: el punto 1 de Calvin (20R1) no aplica en R10.</t>
        </is>
      </c>
    </row>
    <row r="61">
      <c r="A61" s="16" t="inlineStr">
        <is>
          <t>F38</t>
        </is>
      </c>
      <c r="B61" s="5" t="inlineStr">
        <is>
          <t>Calvin #11</t>
        </is>
      </c>
      <c r="C61" s="8" t="inlineStr">
        <is>
          <t>Alto</t>
        </is>
      </c>
      <c r="D61" s="5" t="inlineStr">
        <is>
          <t>Estado de la tuerca no se reinicializa al arrancar, en reset ni después de un reinicio</t>
        </is>
      </c>
      <c r="E61" s="5" t="inlineStr">
        <is>
          <t>Código + prueba en celda</t>
        </is>
      </c>
      <c r="F61" s="5" t="inlineStr">
        <is>
          <t>Programador robot</t>
        </is>
      </c>
      <c r="G61" s="5" t="inlineStr">
        <is>
          <t>KRC/R1/System/$config.dat, KRC/R1/Program/Centerline/PRELOAD.src, KRC/R1/cell.src, KRC/R1/System/sps.sub</t>
        </is>
      </c>
      <c r="H61" s="5" t="inlineStr">
        <is>
          <t>• Existe una rutina de inicialización del estado de la tuerca, llamada desde el USER INIT de sps.sub y desde cell.src antes del primer ciclo (y desde la rutina de F10), que deja NUTCYCLE_ACTIVE = FALSE, NUT_PRELOAD_STEP = 0, STEP*DONE y STEP10_ADV_STARTED en FALSE, NUT_START y NEXT_NUT_REQUEST en FALSE, y NUT_READY / NEXT_NUT_READY a partir de la E/S real.
• La seguridad del ciclo ya no depende del valor inicial declarado en $config.dat.
• Prueba en celda: (a) cortar el ciclo a mitad de un preload y reiniciar el controlador: PRELOAD no retoma el paso y las banderas reflejan el pin; (b) reset del programa con tuerca precargada y sin ella: el siguiente ciclo no suelda sin tuerca ni alimenta una segunda. Anotar fecha y resultado.
• Comentarios del código cambiado según docs/CONVENTIONS.md (inglés, señal con dirección y nombre); ningún encabezado de inline form ni línea dentro de un fold de form cambia sin estar declarado (F32, F21, F31).</t>
        </is>
      </c>
      <c r="I61" s="5" t="inlineStr">
        <is>
          <t>F14, F10, F11, F13</t>
        </is>
      </c>
      <c r="J61" s="6" t="inlineStr">
        <is>
          <t>Abierto</t>
        </is>
      </c>
      <c r="K61" s="6" t="inlineStr"/>
      <c r="L61" s="6" t="inlineStr"/>
      <c r="M61" s="6" t="inlineStr"/>
      <c r="N61" s="6" t="inlineStr"/>
      <c r="O61" s="7" t="inlineStr">
        <is>
          <t>Alta (Calvin)</t>
        </is>
      </c>
      <c r="P61" s="7" t="inlineStr">
        <is>
          <t>2026-10-04</t>
        </is>
      </c>
      <c r="Q61" s="7" t="inlineStr">
        <is>
          <t>Revisión Ethos del respaldo 658424; el punto sale de la lista de Calvin (Calvin #11).</t>
        </is>
      </c>
    </row>
    <row r="62">
      <c r="A62" s="16" t="inlineStr">
        <is>
          <t>F39</t>
        </is>
      </c>
      <c r="B62" s="5" t="inlineStr">
        <is>
          <t>Calvin #16</t>
        </is>
      </c>
      <c r="C62" s="4" t="inlineStr">
        <is>
          <t>Medio</t>
        </is>
      </c>
      <c r="D62" s="5" t="inlineStr">
        <is>
          <t>Supervisión de par en cero; chequeo de datos de carga solo avisa; carga tecleada</t>
        </is>
      </c>
      <c r="E62" s="5" t="inlineStr">
        <is>
          <t>Configuración + prueba en celda</t>
        </is>
      </c>
      <c r="F62" s="5" t="inlineStr">
        <is>
          <t>Programador robot / Puesta en marcha</t>
        </is>
      </c>
      <c r="G62" s="5" t="inlineStr">
        <is>
          <t>KRC/STEU/Mada/$custom.dat, KRC/R1/System/$config.dat, KRC/R1/System/bas.src</t>
        </is>
      </c>
      <c r="H62" s="5" t="inlineStr">
        <is>
          <t>• En el respaldo $TORQMON_DEF y $TORQMON_COM_DEF tienen valores definidos, o la lista trae la justificación escrita (referencia al manual) de dejarlos en 0.
• $LDC_CONFIG[1] tiene la reacción acordada con Gestamp (p. ej. OVERLOAD #STOPROBOT), anotada.
• Prueba en celda después de G03: un ciclo completo en automático sin falsos paros por par ni por carga. Anotar fecha y valores.</t>
        </is>
      </c>
      <c r="I62" s="5" t="inlineStr">
        <is>
          <t>G03, C08, C09</t>
        </is>
      </c>
      <c r="J62" s="6" t="inlineStr">
        <is>
          <t>Abierto</t>
        </is>
      </c>
      <c r="K62" s="6" t="inlineStr"/>
      <c r="L62" s="6" t="inlineStr"/>
      <c r="M62" s="6" t="inlineStr"/>
      <c r="N62" s="6" t="inlineStr"/>
      <c r="O62" s="7" t="inlineStr">
        <is>
          <t>Alta (Calvin)</t>
        </is>
      </c>
      <c r="P62" s="7" t="inlineStr">
        <is>
          <t>2026-10-04</t>
        </is>
      </c>
      <c r="Q62" s="7" t="inlineStr">
        <is>
          <t>Revisión Ethos del respaldo 658424; el punto sale de la lista de Calvin (Calvin #16).</t>
        </is>
      </c>
    </row>
    <row r="63">
      <c r="A63" s="16" t="inlineStr">
        <is>
          <t>F40</t>
        </is>
      </c>
      <c r="B63" s="5" t="inlineStr">
        <is>
          <t>Calvin #25</t>
        </is>
      </c>
      <c r="C63" s="4" t="inlineStr">
        <is>
          <t>Medio</t>
        </is>
      </c>
      <c r="D63" s="5" t="inlineStr">
        <is>
          <t>Drops y reject abren el gripper sin confirmar pieza; el drop red rabbit se mueve antes de gripper vacío</t>
        </is>
      </c>
      <c r="E63" s="5" t="inlineStr">
        <is>
          <t>Código + prueba en celda</t>
        </is>
      </c>
      <c r="F63" s="5" t="inlineStr">
        <is>
          <t>Programador robot</t>
        </is>
      </c>
      <c r="G63" s="5" t="inlineStr">
        <is>
          <t>KRC/R1/Program/StyleDrops/Options/style1drop1opt1.src, KRC/R1/Program/StyleDrops/Options/style1drop1opt2AutoRR.src, KRC/R1/Program/Utilities/RejectGE4.src</t>
        </is>
      </c>
      <c r="H63" s="5" t="inlineStr">
        <is>
          <t>• En style1drop1opt1, style1drop1opt2AutoRR y RejectGE4 hay una espera de $IN[253] y $IN[254] ON antes del form que abre el gripper (fuera de dry cycle, como las demás esperas de pieza).
• En style1drop1opt2AutoRR la espera de gripper vacío está antes de LIN P23.
• Prueba en T1: quitar la pieza del gripper antes de llegar al drop: el robot se detiene antes de abrir con mensaje. Anotar fecha.
• Comentarios del código cambiado según docs/CONVENTIONS.md (inglés, señal con dirección y nombre); ningún encabezado de inline form ni línea dentro de un fold de form cambia sin estar declarado (F32, F21, F31).</t>
        </is>
      </c>
      <c r="I63" s="5" t="inlineStr">
        <is>
          <t>G14, G10, F31, F19</t>
        </is>
      </c>
      <c r="J63" s="6" t="inlineStr">
        <is>
          <t>Abierto</t>
        </is>
      </c>
      <c r="K63" s="6" t="inlineStr"/>
      <c r="L63" s="6" t="inlineStr"/>
      <c r="M63" s="6" t="inlineStr"/>
      <c r="N63" s="6" t="inlineStr"/>
      <c r="O63" s="7" t="inlineStr">
        <is>
          <t>Alta (Calvin)</t>
        </is>
      </c>
      <c r="P63" s="7" t="inlineStr">
        <is>
          <t>2026-10-04</t>
        </is>
      </c>
      <c r="Q63" s="7" t="inlineStr">
        <is>
          <t>Revisión Ethos del respaldo 658424; el punto sale de la lista de Calvin (Calvin #25).</t>
        </is>
      </c>
    </row>
    <row r="64">
      <c r="A64" s="16" t="inlineStr">
        <is>
          <t>F41</t>
        </is>
      </c>
      <c r="B64" s="5" t="inlineStr">
        <is>
          <t>Calvin Std 5</t>
        </is>
      </c>
      <c r="C64" s="12" t="inlineStr">
        <is>
          <t>Bajo</t>
        </is>
      </c>
      <c r="D64" s="5" t="inlineStr">
        <is>
          <t>Tiempos de PRELOAD, límite de flujo de agua y esperas fijas sin constantes</t>
        </is>
      </c>
      <c r="E64" s="5" t="inlineStr">
        <is>
          <t>Código</t>
        </is>
      </c>
      <c r="F64" s="5" t="inlineStr">
        <is>
          <t>Programador robot</t>
        </is>
      </c>
      <c r="G64" s="5" t="inlineStr">
        <is>
          <t>KRC/R1/Program/Centerline/PRELOAD.src, KRC/R1/System/sps.sub, KRC/R1/Program/Centerline/CENTERLINE_HOME.src, KRC/R1/Program/Centerline/centerline_weld.src, KRC/R1/System/$config.dat</t>
        </is>
      </c>
      <c r="H64" s="5" t="inlineStr">
        <is>
          <t>• En PRELOAD.src, sps.sub, CENTERLINE_HOME.src y centerline_weld.src no quedan esos números en líneas ejecutables: usan constantes de $config.dat con los mismos valores.
• Un ciclo completo en automático sin cambio de tiempo de ciclo. Anotar fecha.
• Comentarios del código cambiado según docs/CONVENTIONS.md (inglés, señal con dirección y nombre); ningún encabezado de inline form ni línea dentro de un fold de form cambia sin estar declarado (F32, F21, F31).</t>
        </is>
      </c>
      <c r="I64" s="5" t="inlineStr">
        <is>
          <t>G16, F26, F09</t>
        </is>
      </c>
      <c r="J64" s="6" t="inlineStr">
        <is>
          <t>Abierto</t>
        </is>
      </c>
      <c r="K64" s="6" t="inlineStr"/>
      <c r="L64" s="6" t="inlineStr"/>
      <c r="M64" s="6" t="inlineStr"/>
      <c r="N64" s="6" t="inlineStr"/>
      <c r="O64" s="7" t="inlineStr">
        <is>
          <t>Alta (Calvin)</t>
        </is>
      </c>
      <c r="P64" s="7" t="inlineStr">
        <is>
          <t>2026-10-04</t>
        </is>
      </c>
      <c r="Q64" s="7" t="inlineStr">
        <is>
          <t>Revisión Ethos del respaldo 658424; el punto sale de la lista de Calvin (Calvin Std 5).</t>
        </is>
      </c>
    </row>
    <row r="65">
      <c r="A65" s="16" t="inlineStr">
        <is>
          <t>F42</t>
        </is>
      </c>
      <c r="B65" s="5" t="inlineStr">
        <is>
          <t>Calvin #30</t>
        </is>
      </c>
      <c r="C65" s="12" t="inlineStr">
        <is>
          <t>Bajo</t>
        </is>
      </c>
      <c r="D65" s="5" t="inlineStr">
        <is>
          <t>Envolventes de trabajo por software apagadas</t>
        </is>
      </c>
      <c r="E65" s="5" t="inlineStr">
        <is>
          <t>Configuración / decisión</t>
        </is>
      </c>
      <c r="F65" s="5" t="inlineStr">
        <is>
          <t>Programador robot / Seguridad / Gestamp</t>
        </is>
      </c>
      <c r="G65" s="5" t="inlineStr">
        <is>
          <t>KRC/R1/Mada/$machine.dat, KRC/STEU/Mada/$custom.dat, C/KRC/Roboter/Config/User/Common/SafetyConfigData.xml</t>
        </is>
      </c>
      <c r="H65" s="5" t="inlineStr">
        <is>
          <t>• Decisión anotada en la lista (quién y fecha).
• Si se activan: valores en el respaldo y prueba en T1 de que el robot se detiene al entrar a la zona. Si no: captura de la configuración de SafeOperation (Cell area y espacios) adjunta.
• $WORKSPACE[1] y [2]: uso documentado (qué salida dan y quién la lee) o en #OFF.</t>
        </is>
      </c>
      <c r="I65" s="5" t="inlineStr">
        <is>
          <t>G02</t>
        </is>
      </c>
      <c r="J65" s="6" t="inlineStr">
        <is>
          <t>Requiere decisión</t>
        </is>
      </c>
      <c r="K65" s="6" t="inlineStr"/>
      <c r="L65" s="6" t="inlineStr"/>
      <c r="M65" s="6" t="inlineStr"/>
      <c r="N65" s="6" t="inlineStr"/>
      <c r="O65" s="7" t="inlineStr">
        <is>
          <t>Alta (Calvin)</t>
        </is>
      </c>
      <c r="P65" s="7" t="inlineStr">
        <is>
          <t>2026-10-04</t>
        </is>
      </c>
      <c r="Q65" s="7" t="inlineStr">
        <is>
          <t>Revisión Ethos del respaldo 658424; el punto sale de la lista de Calvin (Calvin #30).</t>
        </is>
      </c>
    </row>
    <row r="66">
      <c r="A66" s="16" t="inlineStr">
        <is>
          <t>F43</t>
        </is>
      </c>
      <c r="B66" s="5" t="inlineStr">
        <is>
          <t>Calvin #29</t>
        </is>
      </c>
      <c r="C66" s="4" t="inlineStr">
        <is>
          <t>Medio</t>
        </is>
      </c>
      <c r="D66" s="5" t="inlineStr">
        <is>
          <t>Cambio de electrodo: reset de stepper por pulso de 0.1 s y handshake que no cierra</t>
        </is>
      </c>
      <c r="E66" s="5" t="inlineStr">
        <is>
          <t>Decisión + código</t>
        </is>
      </c>
      <c r="F66" s="5" t="inlineStr">
        <is>
          <t>Programador robot / Gestamp controles</t>
        </is>
      </c>
      <c r="G66" s="5" t="inlineStr">
        <is>
          <t>KRC/R1/Program/Utilities/gunelectrodechange.src, KRC/R1/cell.src</t>
        </is>
      </c>
      <c r="H66" s="5" t="inlineStr">
        <is>
          <t>• Forma de pedir el cambio de electrodo acordada con Gestamp por escrito, y cell.src llama la rutina con esa petición, fuera de ciclo.
• El reset del stepper se confirma con $IN[487] (espera supervisada) en lugar de solo un pulso de 0.1 s.
• do092 y do091 se apagan siempre al terminar, después de que el PLC bajó su petición; ninguna salida del handshake queda en ON.
• Prueba en celda: petición, cambio, confirmación, reset de stepper confirmado y regreso a home. Anotar fecha.
• Comentarios del código cambiado según docs/CONVENTIONS.md (inglés, señal con dirección y nombre); ningún encabezado de inline form ni línea dentro de un fold de form cambia sin estar declarado (F32, F21, F31).</t>
        </is>
      </c>
      <c r="I66" s="5" t="inlineStr">
        <is>
          <t>F12, F15, C20</t>
        </is>
      </c>
      <c r="J66" s="6" t="inlineStr">
        <is>
          <t>Requiere decisión</t>
        </is>
      </c>
      <c r="K66" s="6" t="inlineStr"/>
      <c r="L66" s="6" t="inlineStr"/>
      <c r="M66" s="6" t="inlineStr"/>
      <c r="N66" s="6" t="inlineStr"/>
      <c r="O66" s="7" t="inlineStr">
        <is>
          <t>Estándar Gestamp</t>
        </is>
      </c>
      <c r="P66" s="7" t="inlineStr">
        <is>
          <t>2026-10-11</t>
        </is>
      </c>
      <c r="Q66" s="7" t="inlineStr">
        <is>
          <t>Respaldo del 10/10 (versión de oficina del 05/10 cargada + cambios suyos del 06 al 10/10). Mismo estado que G06.</t>
        </is>
      </c>
    </row>
    <row r="67">
      <c r="A67" s="16" t="inlineStr">
        <is>
          <t>F44</t>
        </is>
      </c>
      <c r="B67" s="5" t="inlineStr">
        <is>
          <t>Ethos</t>
        </is>
      </c>
      <c r="C67" s="8" t="inlineStr">
        <is>
          <t>Alto</t>
        </is>
      </c>
      <c r="D67" s="5" t="inlineStr">
        <is>
          <t>Palabra de presión del gun escrita en dos órdenes de bytes (405/1820 contra 39425)</t>
        </is>
      </c>
      <c r="E67" s="5" t="inlineStr">
        <is>
          <t>Código + prueba en celda</t>
        </is>
      </c>
      <c r="F67" s="5" t="inlineStr">
        <is>
          <t>Puesta en marcha / Programador robot</t>
        </is>
      </c>
      <c r="G67" s="5" t="inlineStr">
        <is>
          <t>KRC/R1/System/$config.dat, KRC/R1/Program/Centerline/centerline_weld.src, C/KRC/Roboter/Config/User/Common/KRC_IO.xml</t>
        </is>
      </c>
      <c r="H67" s="5" t="inlineStr">
        <is>
          <t>• Lecturas del ITV en reposo, con gun cerrado antes del intensify y durante el intensify, con fecha, y la configuración del regulador (orden de bytes y rango) anotadas en la lista.
• CL_GUN_PRESS_BASE, CL_GUN_PRESS_WELD y CL_GUN_PRESS_REST en $config.dat están en el mismo orden de bytes, el que confirma la lectura, y su comentario da la presión en MPa; la presión de soldadura sigue siendo la que Gestamp aprueba por escrito.
• La tabla de presiones del encabezado de CENTERLINE_WELD y los ;CHECK: (F44) se actualizan.
• Prueba en celda: un ciclo completo; el ITV muestra la presión esperada en cada fase y $IN[479] se cumple en el intensify. Anotar fecha y lecturas.
• Comentarios del código cambiado según docs/CONVENTIONS.md (inglés, señal con dirección y nombre); ningún encabezado de inline form ni línea dentro de un fold de form cambia sin estar declarado (F32, F21, F31).</t>
        </is>
      </c>
      <c r="I67" s="5" t="inlineStr">
        <is>
          <t>G16</t>
        </is>
      </c>
      <c r="J67" s="6" t="inlineStr">
        <is>
          <t>Abierto</t>
        </is>
      </c>
      <c r="K67" s="6" t="inlineStr"/>
      <c r="L67" s="6" t="inlineStr"/>
      <c r="M67" s="6" t="inlineStr"/>
      <c r="N67" s="6" t="inlineStr"/>
      <c r="O67" s="7" t="inlineStr">
        <is>
          <t>Alta (Ethos)</t>
        </is>
      </c>
      <c r="P67" s="7" t="inlineStr">
        <is>
          <t>2026-10-04</t>
        </is>
      </c>
      <c r="Q67" s="7" t="inlineStr">
        <is>
          <t>Revisión Ethos del respaldo 658424 (v431_03_10_r1.zip del 2026-10-02).</t>
        </is>
      </c>
    </row>
    <row r="68">
      <c r="A68" s="9" t="inlineStr">
        <is>
          <t>F45</t>
        </is>
      </c>
      <c r="B68" s="10" t="inlineStr">
        <is>
          <t>Calvin #23</t>
        </is>
      </c>
      <c r="C68" s="11" t="inlineStr">
        <is>
          <t>Bajo</t>
        </is>
      </c>
      <c r="D68" s="10" t="inlineStr">
        <is>
          <t>Rutinas de clamps: grippers 2-4 deshabilitados, solo existe el gripper 1</t>
        </is>
      </c>
      <c r="E68" s="10" t="inlineStr">
        <is>
          <t>Sin acción</t>
        </is>
      </c>
      <c r="F68" s="10" t="inlineStr">
        <is>
          <t>Programador robot</t>
        </is>
      </c>
      <c r="G68" s="10" t="inlineStr">
        <is>
          <t>KRC/R1/Program/Utilities/closeandcheckallclamps.src, KRC/R1/Program/Utilities/openandcheckallclamps.src, KRC/R1/TP/GripperSpotTech/grp_data.dat</t>
        </is>
      </c>
      <c r="H68" s="10" t="inlineStr">
        <is>
          <t>• Las rutinas siguen manejando solo el gripper 1 y su comentario lo dice (verificación de regresión en cada respaldo).
• Se reabre si el EOAT de R10 recibe un gripper 2-4 con función real.</t>
        </is>
      </c>
      <c r="I68" s="10" t="inlineStr"/>
      <c r="J68" s="10" t="inlineStr">
        <is>
          <t>Cerrado - depuración</t>
        </is>
      </c>
      <c r="K68" s="10" t="inlineStr"/>
      <c r="L68" s="10" t="inlineStr"/>
      <c r="M68" s="10" t="inlineStr"/>
      <c r="N68" s="10" t="inlineStr"/>
      <c r="O68" s="10" t="inlineStr">
        <is>
          <t>Alta (Calvin)</t>
        </is>
      </c>
      <c r="P68" s="10" t="inlineStr">
        <is>
          <t>2026-10-04</t>
        </is>
      </c>
      <c r="Q68" s="10" t="inlineStr">
        <is>
          <t>Revisión Ethos del respaldo 658424; el punto sale de la lista de Calvin (Calvin #23).</t>
        </is>
      </c>
    </row>
    <row r="69">
      <c r="A69" s="16" t="inlineStr">
        <is>
          <t>F46</t>
        </is>
      </c>
      <c r="B69" s="5" t="inlineStr">
        <is>
          <t>Ethos</t>
        </is>
      </c>
      <c r="C69" s="4" t="inlineStr">
        <is>
          <t>Medio</t>
        </is>
      </c>
      <c r="D69" s="5" t="inlineStr">
        <is>
          <t>EndOfCycle del proveedor editado: Work Complete nunca se manda al PLC</t>
        </is>
      </c>
      <c r="E69" s="5" t="inlineStr">
        <is>
          <t>Decisión Gestamp</t>
        </is>
      </c>
      <c r="F69" s="5" t="inlineStr">
        <is>
          <t>Gestamp controles / Ethos (Edgar)</t>
        </is>
      </c>
      <c r="G69" s="5" t="inlineStr">
        <is>
          <t>KRC/R1/TP/AutomationCore/automationcoreroutines.src, KRC/R1/cell.src</t>
        </is>
      </c>
      <c r="H69" s="5" t="inlineStr">
        <is>
          <t>• Decisión escrita de Gestamp (quién y fecha).
• Si se restaura: EndOfCycle es igual a la rutina estándar de AutomationCore (comparada con la de R20); el PLC maneja Work Complete. Prueba en celda: el PLC ve $OUT[15] do015WorkComplete en cada ciclo, contesta $IN[15] y $OUT[5] do005RobotInCycle baja al terminar. Anotar fecha.
• Si se mantiene: la edición está en la lista de C28 y el comentario de cell.src cita la decisión.
• Comentarios según docs/CONVENTIONS.md; el ;WARNING: (F46) de cell.src se quita o se actualiza.</t>
        </is>
      </c>
      <c r="I69" s="5" t="inlineStr">
        <is>
          <t>C28</t>
        </is>
      </c>
      <c r="J69" s="6" t="inlineStr">
        <is>
          <t>Abierto</t>
        </is>
      </c>
      <c r="K69" s="6" t="inlineStr"/>
      <c r="L69" s="6" t="inlineStr"/>
      <c r="M69" s="6" t="inlineStr"/>
      <c r="N69" s="6" t="inlineStr"/>
      <c r="O69" s="7" t="inlineStr">
        <is>
          <t>Sin cambio</t>
        </is>
      </c>
      <c r="P69" s="7" t="inlineStr">
        <is>
          <t>2026-10-11</t>
        </is>
      </c>
      <c r="Q69" s="7" t="inlineStr">
        <is>
          <t>Respaldo del 10/10 (versión de oficina del 05/10 cargada + cambios suyos del 06 al 10/10). El EndOfCycle sigue con Work Complete comentado (automationcoreroutines.src:381-389).</t>
        </is>
      </c>
    </row>
    <row r="70">
      <c r="A70" s="16" t="inlineStr">
        <is>
          <t>F47</t>
        </is>
      </c>
      <c r="B70" s="5" t="inlineStr">
        <is>
          <t>Ethos</t>
        </is>
      </c>
      <c r="C70" s="4" t="inlineStr">
        <is>
          <t>Medio</t>
        </is>
      </c>
      <c r="D70" s="5" t="inlineStr">
        <is>
          <t>Camino del brake test enseñado con tool 3 / base 1 de otro robot</t>
        </is>
      </c>
      <c r="E70" s="5" t="inlineStr">
        <is>
          <t>Código + prueba en celda</t>
        </is>
      </c>
      <c r="F70" s="5" t="inlineStr">
        <is>
          <t>Programador robot / Puesta en marcha</t>
        </is>
      </c>
      <c r="G70" s="5" t="inlineStr">
        <is>
          <t>KRC/R1/TP/BrakeTest/braketeststart.src, KRC/R1/TP/BrakeTest/braketestback.src, KRC/R1/System/$config.dat</t>
        </is>
      </c>
      <c r="H70" s="5" t="inlineStr">
        <is>
          <t>• Los folds de braketeststart.src ya no muestran Tool[3] ni Base[1]:3-30-R1: usan tool 1 / base 0 o puntos de ejes.
• Prueba en T1 a velocidad reducida: el brake test sale de HOME, llega a su pose sin interferencia y regresa a HOME. Anotar fecha y override.
• La edición en archivos del proveedor queda en la lista de C28.
• Comentarios del código cambiado según docs/CONVENTIONS.md (inglés, señal con dirección y nombre); ningún encabezado de inline form ni línea dentro de un fold de form cambia sin estar declarado (F32, F21, F31).</t>
        </is>
      </c>
      <c r="I70" s="5" t="inlineStr">
        <is>
          <t>C28</t>
        </is>
      </c>
      <c r="J70" s="6" t="inlineStr">
        <is>
          <t>Abierto</t>
        </is>
      </c>
      <c r="K70" s="6" t="inlineStr"/>
      <c r="L70" s="6" t="inlineStr"/>
      <c r="M70" s="6" t="inlineStr"/>
      <c r="N70" s="6" t="inlineStr"/>
      <c r="O70" s="7" t="inlineStr">
        <is>
          <t>Alta (Ethos)</t>
        </is>
      </c>
      <c r="P70" s="7" t="inlineStr">
        <is>
          <t>2026-10-04</t>
        </is>
      </c>
      <c r="Q70" s="7" t="inlineStr">
        <is>
          <t>Revisión Ethos del respaldo 658424 (v431_03_10_r1.zip del 2026-10-02).</t>
        </is>
      </c>
    </row>
    <row r="71">
      <c r="A71" s="16" t="inlineStr">
        <is>
          <t>F48</t>
        </is>
      </c>
      <c r="B71" s="5" t="inlineStr">
        <is>
          <t>Ethos</t>
        </is>
      </c>
      <c r="C71" s="8" t="inlineStr">
        <is>
          <t>Alto</t>
        </is>
      </c>
      <c r="D71" s="5" t="inlineStr">
        <is>
          <t>Drop al conveyor: interlock de drop-off después de PTP P5; AtDrop3 re-enseñado (se conserva)</t>
        </is>
      </c>
      <c r="E71" s="5" t="inlineStr">
        <is>
          <t>Código + prueba en celda</t>
        </is>
      </c>
      <c r="F71" s="5" t="inlineStr">
        <is>
          <t>Programador robot / Gestamp controles</t>
        </is>
      </c>
      <c r="G71" s="5" t="inlineStr">
        <is>
          <t>KRC/R1/Program/StyleDrops/Options/style1drop1opt1.src, KRC/R1/Program/StyleDrops/Options/style1drop1opt1.dat</t>
        </is>
      </c>
      <c r="H71" s="5" t="inlineStr">
        <is>
          <t>• AC_DropOffCheck(1) antes del primer movimiento hacia el conveyor en el respaldo.
• Prueba en celda: con $IN[75] di075DropOffMachine1 OFF el robot espera antes de moverse hacia el conveyor (mensaje de espera); con $IN[75] ON hace 5 ciclos dejando la pieza en AtDrop3. Anotar fecha.</t>
        </is>
      </c>
      <c r="I71" s="5" t="inlineStr"/>
      <c r="J71" s="6" t="inlineStr">
        <is>
          <t>Abierto</t>
        </is>
      </c>
      <c r="K71" s="6" t="inlineStr"/>
      <c r="L71" s="6" t="inlineStr"/>
      <c r="M71" s="6" t="inlineStr"/>
      <c r="N71" s="6" t="inlineStr"/>
      <c r="O71" s="7" t="inlineStr">
        <is>
          <t>Sin cambio</t>
        </is>
      </c>
      <c r="P71" s="7" t="inlineStr">
        <is>
          <t>2026-10-11</t>
        </is>
      </c>
      <c r="Q71" s="7" t="inlineStr">
        <is>
          <t>Respaldo del 10/10 (versión de oficina del 05/10 cargada + cambios suyos del 06 al 10/10). AC_DropOffCheck(1) sigue después de PTP P5 (style1drop1opt1.src:38 y :49). P1 quitado.</t>
        </is>
      </c>
    </row>
    <row r="72">
      <c r="A72" s="9" t="inlineStr">
        <is>
          <t>F49</t>
        </is>
      </c>
      <c r="B72" s="10" t="inlineStr">
        <is>
          <t>Ethos</t>
        </is>
      </c>
      <c r="C72" s="13" t="inlineStr">
        <is>
          <t>Alto</t>
        </is>
      </c>
      <c r="D72" s="10" t="inlineStr">
        <is>
          <t>AutomationCore_BKG activado y editado sin decisión registrada</t>
        </is>
      </c>
      <c r="E72" s="10" t="inlineStr">
        <is>
          <t>Decisión Gestamp + código</t>
        </is>
      </c>
      <c r="F72" s="10" t="inlineStr">
        <is>
          <t>Gestamp controles + Programador robot</t>
        </is>
      </c>
      <c r="G72" s="10" t="inlineStr">
        <is>
          <t>KRC/R1/System/sps.sub, KRC/R1/TP/AutomationCore/automationcoreroutines.src, KRC/R1/TP/AutomationCore/automationcoreroutines.dat</t>
        </is>
      </c>
      <c r="H72" s="10" t="inlineStr">
        <is>
          <t>• Decisión de Gestamp por escrito (activar AutomationCore_BKG; NutWeld_BKG sigue apagado o se decide aparte).
• Prueba en celda con el PLC: request to enter concedido solo sin gun en trabajo ni gripper/brake test/mastering en proceso; cada bit de estado leído en el PLC con su condición forzada; un cambio de electrodo completo (F43).
• Ediciones del proveedor listadas en la entrega (C28).</t>
        </is>
      </c>
      <c r="I72" s="10" t="inlineStr">
        <is>
          <t>F12, F43, C28</t>
        </is>
      </c>
      <c r="J72" s="10" t="inlineStr">
        <is>
          <t>Aceptado sin cambio</t>
        </is>
      </c>
      <c r="K72" s="10" t="inlineStr"/>
      <c r="L72" s="10" t="inlineStr"/>
      <c r="M72" s="10" t="inlineStr"/>
      <c r="N72" s="10" t="inlineStr"/>
      <c r="O72" s="10" t="inlineStr">
        <is>
          <t>Estándar Gestamp</t>
        </is>
      </c>
      <c r="P72" s="10" t="inlineStr">
        <is>
          <t>2026-10-11</t>
        </is>
      </c>
      <c r="Q72" s="10" t="inlineStr">
        <is>
          <t>AutomationCore_BKG activo, como en el sps.sub de Gestamp; las ediciones de la rutina son las mismas que en R20 salvo el EndOfCycle sin Work Complete, que sigue en F46.</t>
        </is>
      </c>
    </row>
    <row r="73">
      <c r="A73" s="16" t="inlineStr">
        <is>
          <t>F50</t>
        </is>
      </c>
      <c r="B73" s="5" t="inlineStr">
        <is>
          <t>Ethos</t>
        </is>
      </c>
      <c r="C73" s="8" t="inlineStr">
        <is>
          <t>Alto</t>
        </is>
      </c>
      <c r="D73" s="5" t="inlineStr">
        <is>
          <t>Permiso de aplicación 1 (nut check / cámara) revisado después de llegar a P22</t>
        </is>
      </c>
      <c r="E73" s="5" t="inlineStr">
        <is>
          <t>Código + prueba en celda</t>
        </is>
      </c>
      <c r="F73" s="5" t="inlineStr">
        <is>
          <t>Programador robot</t>
        </is>
      </c>
      <c r="G73" s="5" t="inlineStr">
        <is>
          <t>KRC/R1/Program/StyleApps/Options/style1app2opt1.src</t>
        </is>
      </c>
      <c r="H73" s="5" t="inlineStr">
        <is>
          <t>• AC_ApplicationCheck(1) antes de PTP P22 en el respaldo.
• Prueba en celda: con $IN[70] OFF el robot espera antes de moverse a P22 (mensaje de espera); con $IN[70] ON el ciclo sigue normal. Anotar fecha y resultado.</t>
        </is>
      </c>
      <c r="I73" s="5" t="inlineStr"/>
      <c r="J73" s="6" t="inlineStr">
        <is>
          <t>Abierto</t>
        </is>
      </c>
      <c r="K73" s="6" t="inlineStr"/>
      <c r="L73" s="6" t="inlineStr"/>
      <c r="M73" s="6" t="inlineStr"/>
      <c r="N73" s="6" t="inlineStr"/>
      <c r="O73" s="7" t="inlineStr">
        <is>
          <t>Sin cambio</t>
        </is>
      </c>
      <c r="P73" s="7" t="inlineStr">
        <is>
          <t>2026-10-11</t>
        </is>
      </c>
      <c r="Q73" s="7" t="inlineStr">
        <is>
          <t>Respaldo del 10/10 (versión de oficina del 05/10 cargada + cambios suyos del 06 al 10/10). AC_ApplicationCheck(1) sigue después de PTP P22, ahora con CONT (style1app2opt1.src:46 y :56); el CONT se pierde por el chequeo.</t>
        </is>
      </c>
    </row>
    <row r="74">
      <c r="A74" s="9" t="inlineStr">
        <is>
          <t>F51</t>
        </is>
      </c>
      <c r="B74" s="10" t="inlineStr">
        <is>
          <t>Ethos</t>
        </is>
      </c>
      <c r="C74" s="11" t="inlineStr">
        <is>
          <t>Bajo</t>
        </is>
      </c>
      <c r="D74" s="10" t="inlineStr">
        <is>
          <t>Apps de soldadura duplicadas por estación de pick (A/B): cada cambio va en las dos</t>
        </is>
      </c>
      <c r="E74" s="10" t="inlineStr">
        <is>
          <t>Sin acción</t>
        </is>
      </c>
      <c r="F74" s="10" t="inlineStr">
        <is>
          <t>Programador robot</t>
        </is>
      </c>
      <c r="G74" s="10" t="inlineStr">
        <is>
          <t>KRC/R1/Program/StyleApps/Options/style1app1opt1A..3B, KRC/R1/Program/Styles/Options/style1opt1.src</t>
        </is>
      </c>
      <c r="H74" s="10" t="inlineStr">
        <is>
          <t>• Documentado; se revisa en cada auditoría que A y B sigan iguales en código.</t>
        </is>
      </c>
      <c r="I74" s="10" t="inlineStr"/>
      <c r="J74" s="10" t="inlineStr">
        <is>
          <t>Sin acción - documentado</t>
        </is>
      </c>
      <c r="K74" s="10" t="inlineStr"/>
      <c r="L74" s="10" t="inlineStr"/>
      <c r="M74" s="10" t="inlineStr"/>
      <c r="N74" s="10" t="inlineStr"/>
      <c r="O74" s="10" t="inlineStr">
        <is>
          <t>Alta (auditoría)</t>
        </is>
      </c>
      <c r="P74" s="10" t="inlineStr">
        <is>
          <t>2026-10-05</t>
        </is>
      </c>
      <c r="Q74" s="10" t="inlineStr">
        <is>
          <t>Integrado en la versión depurada.</t>
        </is>
      </c>
    </row>
    <row r="75">
      <c r="A75" s="16" t="inlineStr">
        <is>
          <t>F52</t>
        </is>
      </c>
      <c r="B75" s="5" t="inlineStr">
        <is>
          <t>Ethos</t>
        </is>
      </c>
      <c r="C75" s="8" t="inlineStr">
        <is>
          <t>Alto</t>
        </is>
      </c>
      <c r="D75" s="5" t="inlineStr">
        <is>
          <t>Tiempo ciclo de R10: meta 38 s pieza a pieza (medir el ciclo completo y bajarlo)</t>
        </is>
      </c>
      <c r="E75" s="5" t="inlineStr">
        <is>
          <t>Código + prueba en celda</t>
        </is>
      </c>
      <c r="F75" s="5" t="inlineStr">
        <is>
          <t>Programador robot</t>
        </is>
      </c>
      <c r="G75" s="5" t="inlineStr">
        <is>
          <t>KRC/R1/Program/Centerline/PRELOAD.src, KRC/R1/Program/Centerline/centerline_weld.src, KRC/R1/Program/Centerline/Request_next_nut.src, KRC/R1/Program/Centerline/CL_CYCLE_TIME.src, KRC/R1/Program/StyleApps/Options/style1app1opt1A..3B, KRC/R1/System/$config.dat</t>
        </is>
      </c>
      <c r="H75" s="5" t="inlineStr">
        <is>
          <t>• Respaldo con 10 piezas seguidas en automático: nCtCycle, nCtWaitSum, nCtInWelder, nCtHomeWait y nCtPlcWait leídos.
• 38 s pieza a pieza en automático (nCtCycle de 10 piezas seguidas); la espera en HOME por otras estaciones (nCtHomeWait) se reporta aparte.
• Cada cambio de tiempo ciclo probado en T1 y a 100 % sin tocar el tiempo de soldadura, los chequeos de calidad ni los interlocks de seguridad.</t>
        </is>
      </c>
      <c r="I75" s="5" t="inlineStr"/>
      <c r="J75" s="6" t="inlineStr">
        <is>
          <t>En proceso</t>
        </is>
      </c>
      <c r="K75" s="6" t="inlineStr"/>
      <c r="L75" s="6" t="inlineStr"/>
      <c r="M75" s="6" t="inlineStr"/>
      <c r="N75" s="6" t="inlineStr"/>
      <c r="O75" s="7" t="inlineStr">
        <is>
          <t>Decisión</t>
        </is>
      </c>
      <c r="P75" s="7" t="inlineStr">
        <is>
          <t>2026-10-11</t>
        </is>
      </c>
      <c r="Q75" s="7" t="inlineStr">
        <is>
          <t>Meta de R10: 38 s pieza a pieza (Edgar). Con lo medido el 10/10, la soldadura de las 3 tuercas ocupa 17.2 s (45 % de la meta); quedan 20.8 s para el resto del ciclo, que todavía no se ha medido completo.</t>
        </is>
      </c>
    </row>
    <row r="76">
      <c r="A76" s="9" t="inlineStr">
        <is>
          <t>F53</t>
        </is>
      </c>
      <c r="B76" s="10" t="inlineStr">
        <is>
          <t>Ethos</t>
        </is>
      </c>
      <c r="C76" s="13" t="inlineStr">
        <is>
          <t>Alto</t>
        </is>
      </c>
      <c r="D76" s="10" t="inlineStr">
        <is>
          <t>Tiempo ciclo del programador: pre-alimenta la tuerca, la pide con la pieza aún en la pistola, CONT/PTP y sin esperas de 0.2 s</t>
        </is>
      </c>
      <c r="E76" s="10" t="inlineStr">
        <is>
          <t>Prueba en celda</t>
        </is>
      </c>
      <c r="F76" s="10" t="inlineStr">
        <is>
          <t>Programador robot</t>
        </is>
      </c>
      <c r="G76" s="10" t="inlineStr">
        <is>
          <t>KRC/R1/Program/Centerline/preload.src, KRC/R1/Program/Centerline/centerline_weld.src, KRC/R1/Program/StyleApps/Options/style1app1opt1a..3b, KRC/R1/System/sps.sub, KRC/R1/System/$config.dat</t>
        </is>
      </c>
      <c r="H76" s="10" t="inlineStr">
        <is>
          <t>• Validado en celda por el programador (ciclos en automático sin tuerca faltante ni doble).</t>
        </is>
      </c>
      <c r="I76" s="10" t="inlineStr">
        <is>
          <t>F52</t>
        </is>
      </c>
      <c r="J76" s="10" t="inlineStr">
        <is>
          <t>Aceptado sin cambio</t>
        </is>
      </c>
      <c r="K76" s="10" t="inlineStr"/>
      <c r="L76" s="10" t="inlineStr"/>
      <c r="M76" s="10" t="inlineStr"/>
      <c r="N76" s="10" t="inlineStr"/>
      <c r="O76" s="10" t="inlineStr">
        <is>
          <t>Decisión</t>
        </is>
      </c>
      <c r="P76" s="10" t="inlineStr">
        <is>
          <t>2026-10-11</t>
        </is>
      </c>
      <c r="Q76" s="10" t="inlineStr">
        <is>
          <t>Aceptado por analogía con R20 F51 (decisión de Edgar del 2026-10-10).</t>
        </is>
      </c>
    </row>
    <row r="77">
      <c r="A77" s="9" t="inlineStr">
        <is>
          <t>C01</t>
        </is>
      </c>
      <c r="B77" s="10" t="inlineStr">
        <is>
          <t>Ethos</t>
        </is>
      </c>
      <c r="C77" s="18" t="inlineStr">
        <is>
          <t>-</t>
        </is>
      </c>
      <c r="D77" s="10" t="inlineStr">
        <is>
          <t>AutomationCore_Bkg deshabilitado: el estatus al PLC no se actualiza</t>
        </is>
      </c>
      <c r="E77" s="10" t="inlineStr">
        <is>
          <t>Decisión Gestamp</t>
        </is>
      </c>
      <c r="F77" s="10" t="inlineStr">
        <is>
          <t>Gestamp controles / Ethos (Edgar)</t>
        </is>
      </c>
      <c r="G77" s="10" t="inlineStr">
        <is>
          <t>KRC/R1/System/sps.sub, KRC/R1/TP/AutomationCore/automationcoreroutines.src</t>
        </is>
      </c>
      <c r="H77" s="10" t="inlineStr">
        <is>
          <t>• Se cierra cuando se cierra F12.</t>
        </is>
      </c>
      <c r="I77" s="10" t="inlineStr"/>
      <c r="J77" s="10" t="inlineStr">
        <is>
          <t>Cerrado - auditado</t>
        </is>
      </c>
      <c r="K77" s="10" t="inlineStr"/>
      <c r="L77" s="10" t="inlineStr"/>
      <c r="M77" s="10" t="inlineStr"/>
      <c r="N77" s="10" t="inlineStr"/>
      <c r="O77" s="10" t="inlineStr">
        <is>
          <t>Estándar Gestamp</t>
        </is>
      </c>
      <c r="P77" s="10" t="inlineStr">
        <is>
          <t>2026-10-11</t>
        </is>
      </c>
      <c r="Q77" s="10" t="inlineStr">
        <is>
          <t>AutomationCore_BKG activo en sps.sub desde el 2026-10-05, como en Gestamp; la rutina es la misma que en R20 salvo el EndOfCycle (F46).</t>
        </is>
      </c>
    </row>
    <row r="78">
      <c r="A78" s="16" t="inlineStr">
        <is>
          <t>C02</t>
        </is>
      </c>
      <c r="B78" s="5" t="inlineStr">
        <is>
          <t>Ethos</t>
        </is>
      </c>
      <c r="C78" s="19" t="inlineStr">
        <is>
          <t>-</t>
        </is>
      </c>
      <c r="D78" s="5" t="inlineStr">
        <is>
          <t>Designación BMW-03-10-R1 en los encabezados; confirmar formato con Gestamp</t>
        </is>
      </c>
      <c r="E78" s="5" t="inlineStr">
        <is>
          <t>Información Gestamp</t>
        </is>
      </c>
      <c r="F78" s="5" t="inlineStr">
        <is>
          <t>Ethos (Edgar) / Gestamp controles</t>
        </is>
      </c>
      <c r="G78"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8" s="5" t="inlineStr">
        <is>
          <t>• Confirmación escrita de Gestamp del formato, nombre de línea y códigos de dispositivo.
• Los encabezados del respaldo usan ese formato; los módulos nuevos también.</t>
        </is>
      </c>
      <c r="I78" s="5" t="inlineStr"/>
      <c r="J78" s="6" t="inlineStr">
        <is>
          <t>Requiere decisión</t>
        </is>
      </c>
      <c r="K78" s="6" t="inlineStr"/>
      <c r="L78" s="6" t="inlineStr"/>
      <c r="M78" s="6" t="inlineStr"/>
      <c r="N78" s="6" t="inlineStr"/>
      <c r="O78" s="7" t="inlineStr">
        <is>
          <t>Alta (Ethos)</t>
        </is>
      </c>
      <c r="P78" s="7" t="inlineStr">
        <is>
          <t>2026-10-04</t>
        </is>
      </c>
      <c r="Q78" s="7" t="inlineStr">
        <is>
          <t>Revisión Ethos del respaldo 658424 (v431_03_10_r1.zip del 2026-10-02).</t>
        </is>
      </c>
    </row>
    <row r="79">
      <c r="A79" s="9" t="inlineStr">
        <is>
          <t>C03</t>
        </is>
      </c>
      <c r="B79" s="10" t="inlineStr">
        <is>
          <t>Ethos</t>
        </is>
      </c>
      <c r="C79" s="18" t="inlineStr">
        <is>
          <t>-</t>
        </is>
      </c>
      <c r="D79" s="10" t="inlineStr">
        <is>
          <t>Encabezado estándar Gestamp en cada módulo del integrador</t>
        </is>
      </c>
      <c r="E79" s="10" t="inlineStr">
        <is>
          <t>Sin acción</t>
        </is>
      </c>
      <c r="F79" s="10" t="inlineStr">
        <is>
          <t>Programador robot</t>
        </is>
      </c>
      <c r="G79" s="10"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9" s="10" t="inlineStr">
        <is>
          <t>• Ningún módulo que hoy tiene el bloque '; Gestamp Standards' lo pierde en el respaldo.
• Todo .src nuevo del integrador trae el bloque completo (Gestamp Standards / Line / Robot 03-10-R1 (designación) / Application) y un &amp;COMMENT con 03-10-R1.</t>
        </is>
      </c>
      <c r="I79" s="10" t="inlineStr"/>
      <c r="J79" s="10" t="inlineStr">
        <is>
          <t>Cerrado - depuración</t>
        </is>
      </c>
      <c r="K79" s="10" t="inlineStr"/>
      <c r="L79" s="10" t="inlineStr"/>
      <c r="M79" s="10" t="inlineStr"/>
      <c r="N79" s="10" t="inlineStr"/>
      <c r="O79" s="10" t="inlineStr">
        <is>
          <t>Alta (Ethos)</t>
        </is>
      </c>
      <c r="P79" s="10" t="inlineStr">
        <is>
          <t>2026-10-04</t>
        </is>
      </c>
      <c r="Q79" s="10" t="inlineStr">
        <is>
          <t>Revisión Ethos del respaldo 658424 (v431_03_10_r1.zip del 2026-10-02).</t>
        </is>
      </c>
    </row>
    <row r="80">
      <c r="A80" s="16" t="inlineStr">
        <is>
          <t>C04</t>
        </is>
      </c>
      <c r="B80" s="5" t="inlineStr">
        <is>
          <t>Ethos</t>
        </is>
      </c>
      <c r="C80" s="19" t="inlineStr">
        <is>
          <t>-</t>
        </is>
      </c>
      <c r="D80" s="5" t="inlineStr">
        <is>
          <t>Movimientos de pedestal interpolados sobre el dado fijo (external TCP)</t>
        </is>
      </c>
      <c r="E80" s="5" t="inlineStr">
        <is>
          <t>Código + prueba en celda</t>
        </is>
      </c>
      <c r="F80" s="5" t="inlineStr">
        <is>
          <t>Ethos (Edgar) / Programador robot</t>
        </is>
      </c>
      <c r="G80" s="5" t="inlineStr">
        <is>
          <t>KRC/R1/Program/StyleApps/Options/style1app1opt1.src, KRC/R1/Program/StyleApps/Options/style1app1opt2.src, KRC/R1/Program/StyleApps/Options/style1app1opt3.src, KRC/R1/Program/Utilities/RejectGE4.src, KRC/R1/Program/StyleApps/Options/style1app2opt2.src</t>
        </is>
      </c>
      <c r="H80" s="5" t="inlineStr">
        <is>
          <t>• Decisión escrita de la convención de frames del pedestal adjunta a la lista.
• Se cumplen los criterios de F22 y C05.
• General: comentarios nuevos o cambiados según docs/CONVENTIONS.md (inglés, señal con dirección); el comentario que cite (C04) se quita o se actualiza; ningún encabezado de inline form ni línea dentro de un fold de form cambia sin estar declarado (F32, F21, F31).</t>
        </is>
      </c>
      <c r="I80" s="5" t="inlineStr">
        <is>
          <t>C05, F22</t>
        </is>
      </c>
      <c r="J80" s="6" t="inlineStr">
        <is>
          <t>Requiere decisión</t>
        </is>
      </c>
      <c r="K80" s="6" t="inlineStr"/>
      <c r="L80" s="6" t="inlineStr"/>
      <c r="M80" s="6" t="inlineStr"/>
      <c r="N80" s="6" t="inlineStr"/>
      <c r="O80" s="7" t="inlineStr">
        <is>
          <t>Alta (Ethos)</t>
        </is>
      </c>
      <c r="P80" s="7" t="inlineStr">
        <is>
          <t>2026-10-04</t>
        </is>
      </c>
      <c r="Q80" s="7" t="inlineStr">
        <is>
          <t>Revisión Ethos del respaldo 658424 (v431_03_10_r1.zip del 2026-10-02).</t>
        </is>
      </c>
    </row>
    <row r="81">
      <c r="A81" s="16" t="inlineStr">
        <is>
          <t>C05</t>
        </is>
      </c>
      <c r="B81" s="5" t="inlineStr">
        <is>
          <t>Ethos</t>
        </is>
      </c>
      <c r="C81" s="19" t="inlineStr">
        <is>
          <t>-</t>
        </is>
      </c>
      <c r="D81" s="5" t="inlineStr">
        <is>
          <t>TCP remoto del pedestal (BASE_DATA[3]) sin medir</t>
        </is>
      </c>
      <c r="E81" s="5" t="inlineStr">
        <is>
          <t>Confirmar en sitio</t>
        </is>
      </c>
      <c r="F81" s="5" t="inlineStr">
        <is>
          <t>Puesta en marcha / Programador robot</t>
        </is>
      </c>
      <c r="G81" s="5" t="inlineStr">
        <is>
          <t>KRC/R1/System/$config.dat, KRC/R1/Program/StyleApps/Options/style1app1opt1.src, KRC/R1/Program/StyleApps/Options/style1app1opt2.src, KRC/R1/Program/StyleApps/Options/style1app1opt3.src, KRC/R1/Program/Utilities/RejectGE4.src, KRC/R1/Program/StyleApps/Options/style1app2opt2.src</t>
        </is>
      </c>
      <c r="H81" s="5" t="inlineStr">
        <is>
          <t>• Registro de medición adjunto: método KUKA de herramienta fija, referencia física, cómo se dio el desfase axial de 6.35 mm y la orientación X/Y, error mostrado, valores resultantes, fecha y verificación de mastering previa.
• BASE_DATA[3] del respaldo es el valor medido y BASE_NAME[3] sigue siendo NUT WELDER.
• Prueba en T1: con la pieza en una pose de soldadura, jog de orientación en external TCP: la pieza gira sobre el electrodo sin desplazarse; anotar resultado.
• En el mismo respaldo en que cambia BASE_DATA[3], cada punto en Base[3] (style1app1opt1..3, RejectGE4, style1app2opt2) está re-enseñado o la lista anota que se recorrió en T1 y quedó correcto.
• General: comentarios nuevos o cambiados según docs/CONVENTIONS.md (inglés, señal con dirección); el comentario que cite (C05) se quita o se actualiza; ningún encabezado de inline form ni línea dentro de un fold de form cambia sin estar declarado (F32, F21, F31).</t>
        </is>
      </c>
      <c r="I81" s="5" t="inlineStr"/>
      <c r="J81" s="6" t="inlineStr">
        <is>
          <t>Abierto</t>
        </is>
      </c>
      <c r="K81" s="6" t="inlineStr"/>
      <c r="L81" s="6" t="inlineStr"/>
      <c r="M81" s="6" t="inlineStr"/>
      <c r="N81" s="6" t="inlineStr"/>
      <c r="O81" s="7" t="inlineStr">
        <is>
          <t>Alta (Ethos)</t>
        </is>
      </c>
      <c r="P81" s="7" t="inlineStr">
        <is>
          <t>2026-10-04</t>
        </is>
      </c>
      <c r="Q81" s="7" t="inlineStr">
        <is>
          <t>Revisión Ethos del respaldo 658424 (v431_03_10_r1.zip del 2026-10-02).</t>
        </is>
      </c>
    </row>
    <row r="82">
      <c r="A82" s="16" t="inlineStr">
        <is>
          <t>C06</t>
        </is>
      </c>
      <c r="B82" s="5" t="inlineStr">
        <is>
          <t>Ethos</t>
        </is>
      </c>
      <c r="C82" s="19" t="inlineStr">
        <is>
          <t>-</t>
        </is>
      </c>
      <c r="D82" s="5" t="inlineStr">
        <is>
          <t>Herramientas y bases con nombre: nombres de otro proyecto</t>
        </is>
      </c>
      <c r="E82" s="5" t="inlineStr">
        <is>
          <t>Código + prueba en celda</t>
        </is>
      </c>
      <c r="F82" s="5" t="inlineStr">
        <is>
          <t>Programador robot</t>
        </is>
      </c>
      <c r="G82" s="5" t="inlineStr">
        <is>
          <t>KRC/R1/System/$config.dat, KRC/R1/TP/BrakeTest/braketeststart.src</t>
        </is>
      </c>
      <c r="H82" s="5" t="inlineStr">
        <is>
          <t>• En $config.dat TOOL_NAME y BASE_NAME de cada herramienta y base usada describen lo que son (p. ej. EOAT 1, NUT WELDER); las que no se usan quedan vacías o con su nombre real.
• Ningún movimiento de producción ni de servicio usa una herramienta o base sin nombre o con nombre de otro robot (F47 cerrado).
• Prueba: abrir un form de movimiento de cada módulo de producción y confirmar que muestra el nombre nuevo sin cambiar el punto (sin Touch Up). Anotar fecha.
• General: comentarios nuevos o cambiados según docs/CONVENTIONS.md (inglés, señal con dirección); el comentario que cite (C06) se quita o se actualiza; ningún encabezado de inline form ni línea dentro de un fold de form cambia sin estar declarado (F32, F21, F31).</t>
        </is>
      </c>
      <c r="I82" s="5" t="inlineStr">
        <is>
          <t>F47</t>
        </is>
      </c>
      <c r="J82" s="6" t="inlineStr">
        <is>
          <t>Abierto</t>
        </is>
      </c>
      <c r="K82" s="6" t="inlineStr"/>
      <c r="L82" s="6" t="inlineStr"/>
      <c r="M82" s="6" t="inlineStr"/>
      <c r="N82" s="6" t="inlineStr"/>
      <c r="O82" s="7" t="inlineStr">
        <is>
          <t>Alta (Ethos)</t>
        </is>
      </c>
      <c r="P82" s="7" t="inlineStr">
        <is>
          <t>2026-10-04</t>
        </is>
      </c>
      <c r="Q82" s="7" t="inlineStr">
        <is>
          <t>Revisión Ethos del respaldo 658424 (v431_03_10_r1.zip del 2026-10-02).</t>
        </is>
      </c>
    </row>
    <row r="83">
      <c r="A83" s="16" t="inlineStr">
        <is>
          <t>C07</t>
        </is>
      </c>
      <c r="B83" s="5" t="inlineStr">
        <is>
          <t>Ethos</t>
        </is>
      </c>
      <c r="C83" s="19" t="inlineStr">
        <is>
          <t>-</t>
        </is>
      </c>
      <c r="D83" s="5" t="inlineStr">
        <is>
          <t>Un user frame por utillaje: picks, nut check, reject y drops en WORLD</t>
        </is>
      </c>
      <c r="E83" s="5" t="inlineStr">
        <is>
          <t>Decisión Gestamp</t>
        </is>
      </c>
      <c r="F83" s="5" t="inlineStr">
        <is>
          <t>Gestamp controles / Ethos (Edgar)</t>
        </is>
      </c>
      <c r="G83" s="5" t="inlineStr">
        <is>
          <t>KRC/R1/Program/StylePicks/Options/style1pick1opt1.src, KRC/R1/Program/StylePicks/Options/style1pick1opt2.src, KRC/R1/Program/StylePicks/Options/style1pick1opt1AutoRR.src, KRC/R1/Program/StyleApps/Options/style1app2opt1.src, KRC/R1/Program/StyleApps/Options/style1app2opt2.src, KRC/R1/Program/Utilities/RejectGE4.src, KRC/R1/Program/StyleDrops/Options/style1drop1opt1.src, KRC/R1/Program/StyleDrops/Options/style1drop1opt2AutoRR.src, KRC/R1/System/$config.dat</t>
        </is>
      </c>
      <c r="H83" s="5" t="inlineStr">
        <is>
          <t>• Decisión escrita de Gestamp adjunta: (a) acepta WORLD y el punto se cierra sin cambio de código; o (b) exige una base por utillaje.
• Si (b): cada utillaje tiene su BASE_DATA medida y su BASE_NAME; los movimientos de aproximación, trabajo y salida usan esa base; registro de medición y prueba en T1 y en automático con fecha.
• General: comentarios nuevos o cambiados según docs/CONVENTIONS.md (inglés, señal con dirección); el comentario que cite (C07) se quita o se actualiza; ningún encabezado de inline form ni línea dentro de un fold de form cambia sin estar declarado (F32, F21, F31).</t>
        </is>
      </c>
      <c r="I83" s="5" t="inlineStr"/>
      <c r="J83" s="6" t="inlineStr">
        <is>
          <t>Requiere decisión</t>
        </is>
      </c>
      <c r="K83" s="6" t="inlineStr"/>
      <c r="L83" s="6" t="inlineStr"/>
      <c r="M83" s="6" t="inlineStr"/>
      <c r="N83" s="6" t="inlineStr"/>
      <c r="O83" s="7" t="inlineStr">
        <is>
          <t>Alta (Ethos)</t>
        </is>
      </c>
      <c r="P83" s="7" t="inlineStr">
        <is>
          <t>2026-10-04</t>
        </is>
      </c>
      <c r="Q83" s="7" t="inlineStr">
        <is>
          <t>Revisión Ethos del respaldo 658424 (v431_03_10_r1.zip del 2026-10-02).</t>
        </is>
      </c>
    </row>
    <row r="84">
      <c r="A84" s="16" t="inlineStr">
        <is>
          <t>C08</t>
        </is>
      </c>
      <c r="B84" s="5" t="inlineStr">
        <is>
          <t>Ethos</t>
        </is>
      </c>
      <c r="C84" s="19" t="inlineStr">
        <is>
          <t>-</t>
        </is>
      </c>
      <c r="D84" s="5" t="inlineStr">
        <is>
          <t>Datos de carga: LOAD_DATA[1] tecleado, sin determinar</t>
        </is>
      </c>
      <c r="E84" s="5" t="inlineStr">
        <is>
          <t>Código + prueba en celda</t>
        </is>
      </c>
      <c r="F84" s="5" t="inlineStr">
        <is>
          <t>Programador robot / Puesta en marcha</t>
        </is>
      </c>
      <c r="G84" s="5" t="inlineStr">
        <is>
          <t>KRC/R1/System/$config.dat,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t>
        </is>
      </c>
      <c r="H84" s="5" t="inlineStr">
        <is>
          <t>• LOAD_DATA[1] coincide con el resultado de LoadDataDetermination del EOAT 1 sin pieza.
• Ningún movimiento de producción usa una herramienta con LOAD_DATA por defecto o cero.
• General: comentarios nuevos o cambiados según docs/CONVENTIONS.md (inglés, señal con dirección); el comentario que cite (C08) se quita o se actualiza; ningún encabezado de inline form ni línea dentro de un fold de form cambia sin estar declarado (F32, F21, F31).</t>
        </is>
      </c>
      <c r="I84" s="5" t="inlineStr">
        <is>
          <t>G03, F39</t>
        </is>
      </c>
      <c r="J84" s="6" t="inlineStr">
        <is>
          <t>En proceso</t>
        </is>
      </c>
      <c r="K84" s="6" t="inlineStr"/>
      <c r="L84" s="6" t="inlineStr"/>
      <c r="M84" s="6" t="inlineStr"/>
      <c r="N84" s="6" t="inlineStr"/>
      <c r="O84" s="7" t="inlineStr">
        <is>
          <t>Avance del programador</t>
        </is>
      </c>
      <c r="P84" s="7" t="inlineStr">
        <is>
          <t>2026-10-11</t>
        </is>
      </c>
      <c r="Q84" s="7" t="inlineStr">
        <is>
          <t>Respaldo del 10/10 (versión de oficina del 05/10 cargada + cambios suyos del 06 al 10/10). LOAD_DATA[1] = 67.28 kg con centro de masa (-2.62, 17.93, 219.18) e inercias: ya no es el tecleado de 210 kg. Falta la evidencia de Load Data Determination (captura o protocolo). LOAD_A3_DATA pasó de 30 a 50 kg.</t>
        </is>
      </c>
    </row>
    <row r="85">
      <c r="A85" s="16" t="inlineStr">
        <is>
          <t>C09</t>
        </is>
      </c>
      <c r="B85" s="5" t="inlineStr">
        <is>
          <t>Ethos</t>
        </is>
      </c>
      <c r="C85" s="19" t="inlineStr">
        <is>
          <t>-</t>
        </is>
      </c>
      <c r="D85" s="5" t="inlineStr">
        <is>
          <t>Detección de colisión apagada en todo el programa; la reacción es un HALT</t>
        </is>
      </c>
      <c r="E85" s="5" t="inlineStr">
        <is>
          <t>Código + prueba en celda</t>
        </is>
      </c>
      <c r="F85" s="5" t="inlineStr">
        <is>
          <t>Programador robot / Puesta en marcha</t>
        </is>
      </c>
      <c r="G85" s="5" t="inlineStr">
        <is>
          <t>KRC/R1/System/$config.dat, KRC/R1/TP/AutomationCore/automationglobalpos.dat, KRC/R1/Program/tm_useraction.src,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KRC/R1/Program/HOME.src, KRC/R1/Program/Utilities/hometorepair.src, KRC/R1/Program/Utilities/repairtohome.src, KRC/R1/Program/masref_user.src</t>
        </is>
      </c>
      <c r="H85" s="5" t="inlineStr">
        <is>
          <t>• Opción A: detección activa (bTQM_KCPSTATUS = TRUE y TQ_STATE TRUE en los FDAT de los movimientos que corren en automático, incluidos FHOME y los de automationglobalpos.dat); excepciones anotadas con su razón; valores de sensibilidad anotados; ciclos en automático externo a 100 % sin disparo en falso, con número de ciclos y fecha.
• Opción B: aprobación escrita de Gestamp para operar sin detección de colisión, adjunta, y el ;NOTE: de tm_useraction la cita.
• General: comentarios nuevos o cambiados según docs/CONVENTIONS.md (inglés, señal con dirección); el comentario que cite (C09) se quita o se actualiza; ningún encabezado de inline form ni línea dentro de un fold de form cambia sin estar declarado (F32, F21, F31).</t>
        </is>
      </c>
      <c r="I85" s="5" t="inlineStr">
        <is>
          <t>C08, F39</t>
        </is>
      </c>
      <c r="J85" s="6" t="inlineStr">
        <is>
          <t>Abierto</t>
        </is>
      </c>
      <c r="K85" s="6" t="inlineStr"/>
      <c r="L85" s="6" t="inlineStr"/>
      <c r="M85" s="6" t="inlineStr"/>
      <c r="N85" s="6" t="inlineStr"/>
      <c r="O85" s="7" t="inlineStr">
        <is>
          <t>Nota</t>
        </is>
      </c>
      <c r="P85" s="7" t="inlineStr">
        <is>
          <t>2026-10-11</t>
        </is>
      </c>
      <c r="Q85" s="7" t="inlineStr">
        <is>
          <t>Respaldo del 10/10 (versión de oficina del 05/10 cargada + cambios suyos del 06 al 10/10). tm_bib.dat: TQM_ACT T21..T26 bajaron de 100000 a 1000 (supervisión de par). Confirmar con el programador qué activó y si quedó probado.</t>
        </is>
      </c>
    </row>
    <row r="86">
      <c r="A86" s="16" t="inlineStr">
        <is>
          <t>C10</t>
        </is>
      </c>
      <c r="B86" s="5" t="inlineStr">
        <is>
          <t>Ethos</t>
        </is>
      </c>
      <c r="C86" s="19" t="inlineStr">
        <is>
          <t>-</t>
        </is>
      </c>
      <c r="D86" s="5" t="inlineStr">
        <is>
          <t>Falta el programa de mastering ZERO_G1</t>
        </is>
      </c>
      <c r="E86" s="5" t="inlineStr">
        <is>
          <t>Código + prueba en celda</t>
        </is>
      </c>
      <c r="F86" s="5" t="inlineStr">
        <is>
          <t>Programador robot</t>
        </is>
      </c>
      <c r="G86" s="5" t="inlineStr">
        <is>
          <t>KRC/R1/Program/ZERO_G1.src (nuevo)</t>
        </is>
      </c>
      <c r="H86" s="5" t="inlineStr">
        <is>
          <t>• Existe ZERO_G1.src (y su .dat) en KRC/R1/Program con el bloque '; Gestamp Standards' y &amp;COMMENT, y está declarado en tools/code_changes.json (added_files).
• Arranca y termina en HOME; la pose de mastering es igual a $MAMES[1..6] de $machine.dat (A1 -20, A2 -120, A3 110, A4 0, A5 0, A6 0), con pausa explícita y mensaje que pide revisar las marcas; si no se alcanza en un paso, dos poses (A1-A3, luego A4-A6) con el visto bueno de Ingeniería Gestamp.
• Prueba en T1 con override reducido: HOME, pose de mastering y regreso sin contacto; foto de las marcas de cada eje; fecha.
• General: comentarios nuevos o cambiados según docs/CONVENTIONS.md (inglés, señal con dirección); el comentario que cite (C10) se quita o se actualiza; ningún encabezado de inline form ni línea dentro de un fold de form cambia sin estar declarado (F32, F21, F31).</t>
        </is>
      </c>
      <c r="I86" s="5" t="inlineStr"/>
      <c r="J86" s="6" t="inlineStr">
        <is>
          <t>Abierto</t>
        </is>
      </c>
      <c r="K86" s="6" t="inlineStr"/>
      <c r="L86" s="6" t="inlineStr"/>
      <c r="M86" s="6" t="inlineStr"/>
      <c r="N86" s="6" t="inlineStr"/>
      <c r="O86" s="7" t="inlineStr">
        <is>
          <t>Alta (Ethos)</t>
        </is>
      </c>
      <c r="P86" s="7" t="inlineStr">
        <is>
          <t>2026-10-04</t>
        </is>
      </c>
      <c r="Q86" s="7" t="inlineStr">
        <is>
          <t>Revisión Ethos del respaldo 658424 (v431_03_10_r1.zip del 2026-10-02).</t>
        </is>
      </c>
    </row>
    <row r="87">
      <c r="A87" s="16" t="inlineStr">
        <is>
          <t>C11</t>
        </is>
      </c>
      <c r="B87" s="5" t="inlineStr">
        <is>
          <t>Ethos</t>
        </is>
      </c>
      <c r="C87" s="19" t="inlineStr">
        <is>
          <t>-</t>
        </is>
      </c>
      <c r="D87" s="5" t="inlineStr">
        <is>
          <t>Zonas sin documentar: ninguna zona pedida, falta la forma NA-FM-71-138.1</t>
        </is>
      </c>
      <c r="E87" s="5" t="inlineStr">
        <is>
          <t>Información Gestamp</t>
        </is>
      </c>
      <c r="F87" s="5" t="inlineStr">
        <is>
          <t>Ethos (Edgar) / Gestamp controles</t>
        </is>
      </c>
      <c r="G87" s="5" t="inlineStr">
        <is>
          <t>KRC/R1/Program/Utilities/hometorepair.src, KRC/R1/Program/Utilities/repairtohome.src, KRC/R1/Program/Utilities/hometopounce.src, KRC/R1/Program/Styles/Options/style1opt1.src</t>
        </is>
      </c>
      <c r="H87" s="5" t="inlineStr">
        <is>
          <t>• NA-FM-71-138.1 llena y aprobada por Gestamp, adjunta (o constancia escrita de que R10 no comparte zonas).
• Toda zona de la forma tiene su petición y su liberación en el módulo correspondiente, con el comentario 'Zn ENTER/EXIT 03-10-R1 ... WITH &lt;robot socio&gt;' y el AC_CmdParam del form igual al número de zona.
• Prueba en celda por zona: R10 espera en la petición mientras la zona está ocupada y su salida de zona libre está OFF dentro y ON al salir; anotar fecha.
• General: comentarios nuevos o cambiados según docs/CONVENTIONS.md (inglés, señal con dirección); el comentario que cite (C11) se quita o se actualiza; ningún encabezado de inline form ni línea dentro de un fold de form cambia sin estar declarado (F32, F21, F31).</t>
        </is>
      </c>
      <c r="I87" s="5" t="inlineStr"/>
      <c r="J87" s="6" t="inlineStr">
        <is>
          <t>Requiere decisión</t>
        </is>
      </c>
      <c r="K87" s="6" t="inlineStr"/>
      <c r="L87" s="6" t="inlineStr"/>
      <c r="M87" s="6" t="inlineStr"/>
      <c r="N87" s="6" t="inlineStr"/>
      <c r="O87" s="7" t="inlineStr">
        <is>
          <t>Alta (Ethos)</t>
        </is>
      </c>
      <c r="P87" s="7" t="inlineStr">
        <is>
          <t>2026-10-04</t>
        </is>
      </c>
      <c r="Q87" s="7" t="inlineStr">
        <is>
          <t>Revisión Ethos del respaldo 658424 (v431_03_10_r1.zip del 2026-10-02).</t>
        </is>
      </c>
    </row>
    <row r="88">
      <c r="A88" s="9" t="inlineStr">
        <is>
          <t>C12</t>
        </is>
      </c>
      <c r="B88" s="10" t="inlineStr">
        <is>
          <t>Ethos</t>
        </is>
      </c>
      <c r="C88" s="18" t="inlineStr">
        <is>
          <t>-</t>
        </is>
      </c>
      <c r="D88" s="10" t="inlineStr">
        <is>
          <t>Pounce común: el ciclo no pasa por pounce y do007RobotAtPounce no se calcula</t>
        </is>
      </c>
      <c r="E88" s="10" t="inlineStr">
        <is>
          <t>Decisión Gestamp</t>
        </is>
      </c>
      <c r="F88" s="10" t="inlineStr">
        <is>
          <t>Gestamp controles / Ethos (Edgar)</t>
        </is>
      </c>
      <c r="G88" s="10" t="inlineStr">
        <is>
          <t>KRC/R1/Program/Utilities/hometopounce.src, KRC/R1/Program/Utilities/pouncetohome.src, KRC/R1/TP/AutomationCore/automationglobalpos.dat, KRC/R1/TP/AutomationCore/automationcoreroutines.src, KRC/R1/Program/Styles/Options/style1opt1.src, KRC/R1/Program/Styles/Options/Style1Opt10AutoRR.src, KRC/R1/cell.src</t>
        </is>
      </c>
      <c r="H88" s="10" t="inlineStr">
        <is>
          <t>• Decisión escrita de Gestamp adjunta.
• Si se exige: Style1Opt1 y Style1Opt10AutoRR pasan por el mismo pounce; XPOUNCE verificado en T1 con la herramienta 1; $OUT[7] se escribe cíclicamente y HomeCheck ejecuta PounceToHome con el robot en el pounce; prueba con fecha.
• Si no se exige: el comentario de HomeToPounce y PounceToHome dice que no se usan por decisión de Gestamp.
• General: comentarios nuevos o cambiados según docs/CONVENTIONS.md (inglés, señal con dirección); el comentario que cite (C12) se quita o se actualiza; ningún encabezado de inline form ni línea dentro de un fold de form cambia sin estar declarado (F32, F21, F31).</t>
        </is>
      </c>
      <c r="I88" s="10" t="inlineStr">
        <is>
          <t>F12</t>
        </is>
      </c>
      <c r="J88" s="10" t="inlineStr">
        <is>
          <t>Aceptado sin cambio</t>
        </is>
      </c>
      <c r="K88" s="10" t="inlineStr"/>
      <c r="L88" s="10" t="inlineStr"/>
      <c r="M88" s="10" t="inlineStr"/>
      <c r="N88" s="10" t="inlineStr"/>
      <c r="O88" s="10" t="inlineStr">
        <is>
          <t>Estándar Gestamp</t>
        </is>
      </c>
      <c r="P88" s="10" t="inlineStr">
        <is>
          <t>2026-10-11</t>
        </is>
      </c>
      <c r="Q88" s="10" t="inlineStr">
        <is>
          <t>Gestamp no usa pounce en el ciclo. Aceptado sin cambio (igual que R20).</t>
        </is>
      </c>
    </row>
    <row r="89">
      <c r="A89" s="9" t="inlineStr">
        <is>
          <t>C13</t>
        </is>
      </c>
      <c r="B89" s="10" t="inlineStr">
        <is>
          <t>Ethos</t>
        </is>
      </c>
      <c r="C89" s="18" t="inlineStr">
        <is>
          <t>-</t>
        </is>
      </c>
      <c r="D89" s="10" t="inlineStr">
        <is>
          <t>Manejo de zonas coherente</t>
        </is>
      </c>
      <c r="E89" s="10" t="inlineStr">
        <is>
          <t>Sin acción</t>
        </is>
      </c>
      <c r="F89" s="10" t="inlineStr">
        <is>
          <t>Programador robot</t>
        </is>
      </c>
      <c r="G89" s="10" t="inlineStr">
        <is>
          <t>KRC/R1/Program/Utilities/hometorepair.src, KRC/R1/Program/Utilities/repairtohome.src, KRC/R1/Program/Utilities/hometopounce.src, KRC/R1/Program/Utilities/pouncetohome.src</t>
        </is>
      </c>
      <c r="H89" s="10" t="inlineStr">
        <is>
          <t>• Se reabre si C11 o C12 agregan zonas: entonces cada zona pedida se libera al salir de ella (no solo por MaintainSystem), con prueba en T1 de las salidas de zona libre.</t>
        </is>
      </c>
      <c r="I89" s="10" t="inlineStr">
        <is>
          <t>C11</t>
        </is>
      </c>
      <c r="J89" s="10" t="inlineStr">
        <is>
          <t>No aplica</t>
        </is>
      </c>
      <c r="K89" s="10" t="inlineStr"/>
      <c r="L89" s="10" t="inlineStr"/>
      <c r="M89" s="10" t="inlineStr"/>
      <c r="N89" s="10" t="inlineStr"/>
      <c r="O89" s="10" t="inlineStr">
        <is>
          <t>Alta (Ethos)</t>
        </is>
      </c>
      <c r="P89" s="10" t="inlineStr">
        <is>
          <t>2026-10-04</t>
        </is>
      </c>
      <c r="Q89" s="10" t="inlineStr">
        <is>
          <t>Revisión Ethos del respaldo 658424 (v431_03_10_r1.zip del 2026-10-02).</t>
        </is>
      </c>
    </row>
    <row r="90">
      <c r="A90" s="9" t="inlineStr">
        <is>
          <t>C14</t>
        </is>
      </c>
      <c r="B90" s="10" t="inlineStr">
        <is>
          <t>Ethos</t>
        </is>
      </c>
      <c r="C90" s="18" t="inlineStr">
        <is>
          <t>-</t>
        </is>
      </c>
      <c r="D90" s="10" t="inlineStr">
        <is>
          <t>Brake test: el 'due' no se reporta y el camino usa tool/base de otro robot</t>
        </is>
      </c>
      <c r="E90" s="10" t="inlineStr">
        <is>
          <t>Código + prueba en celda</t>
        </is>
      </c>
      <c r="F90" s="10" t="inlineStr">
        <is>
          <t>Programador robot</t>
        </is>
      </c>
      <c r="G90" s="10" t="inlineStr">
        <is>
          <t>KRC/R1/TP/BrakeTest/braketeststart.src, KRC/R1/TP/BrakeTest/braketestback.src, KRC/R1/cell.src, KRC/R1/System/sps.sub, KRC/R1/TP/AutomationCore/automationcoreroutines.src</t>
        </is>
      </c>
      <c r="H90" s="10" t="inlineStr">
        <is>
          <t>• $OUT[21] do021BrakeTestReqd se escribe en cada ciclo del submit con la condición de brake test pendiente.
• La señal de brake test en proceso se apaga después del último movimiento de regreso, con el robot en HOME, y su bit está acordado con Gestamp (F18).
• Prueba en celda: con el brake test pendiente el PLC ve do021 ON; al pedir di021 el robot sale de HOME, hace el test y regresa a HOME; do021 baja al terminar. Anotar fecha.
• La edición en archivos del proveedor queda listada en C28.
• General: comentarios nuevos o cambiados según docs/CONVENTIONS.md (inglés, señal con dirección); el comentario que cite (C14) se quita o se actualiza; ningún encabezado de inline form ni línea dentro de un fold de form cambia sin estar declarado (F32, F21, F31).</t>
        </is>
      </c>
      <c r="I90" s="10" t="inlineStr">
        <is>
          <t>F47</t>
        </is>
      </c>
      <c r="J90" s="10" t="inlineStr">
        <is>
          <t>Se cierra con otro punto</t>
        </is>
      </c>
      <c r="K90" s="10" t="inlineStr"/>
      <c r="L90" s="10" t="inlineStr"/>
      <c r="M90" s="10" t="inlineStr"/>
      <c r="N90" s="10" t="inlineStr"/>
      <c r="O90" s="10" t="inlineStr">
        <is>
          <t>Estándar Gestamp</t>
        </is>
      </c>
      <c r="P90" s="10" t="inlineStr">
        <is>
          <t>2026-10-11</t>
        </is>
      </c>
      <c r="Q90" s="10" t="inlineStr">
        <is>
          <t>do021 (brake test pendiente) lo escribe AutomationCore_BKG, activo como en Gestamp; braketestback apaga do931 en su USER INI, igual que Gestamp. Queda el camino del brake test enseñado con tool/base de otro robot: F47.</t>
        </is>
      </c>
    </row>
    <row r="91">
      <c r="A91" s="9" t="inlineStr">
        <is>
          <t>C15</t>
        </is>
      </c>
      <c r="B91" s="10" t="inlineStr">
        <is>
          <t>Ethos</t>
        </is>
      </c>
      <c r="C91" s="18" t="inlineStr">
        <is>
          <t>-</t>
        </is>
      </c>
      <c r="D91" s="10" t="inlineStr">
        <is>
          <t>Dry cycle seleccionable y sin colgar el robot</t>
        </is>
      </c>
      <c r="E91" s="10" t="inlineStr">
        <is>
          <t>Código + prueba en celda</t>
        </is>
      </c>
      <c r="F91" s="10" t="inlineStr">
        <is>
          <t>Programador robot</t>
        </is>
      </c>
      <c r="G91" s="10" t="inlineStr">
        <is>
          <t>KRC/R1/Program/StyleApps/Options/style1app1opt1.src, KRC/R1/Program/StyleApps/Options/style1app1opt2.src, KRC/R1/Program/StyleApps/Options/style1app1opt3.src, KRC/R1/Program/Centerline/PRELOAD.src, KRC/R1/Program/StylePicks/Options/style1pick1opt1.src, KRC/R1/Program/StylePicks/Options/style1pick1opt2.src, KRC/R1/Program/StyleApps/Options/style1app2opt1.src, KRC/R1/Program/StyleApps/Options/style1app2opt2.src, KRC/R1/System/sps.sub</t>
        </is>
      </c>
      <c r="H91" s="10" t="inlineStr">
        <is>
          <t>• Se cierra cuando se cierran F04 y F05.</t>
        </is>
      </c>
      <c r="I91" s="10" t="inlineStr">
        <is>
          <t>F04, F05</t>
        </is>
      </c>
      <c r="J91" s="10" t="inlineStr">
        <is>
          <t>Se cierra con otro punto</t>
        </is>
      </c>
      <c r="K91" s="10" t="inlineStr"/>
      <c r="L91" s="10" t="inlineStr"/>
      <c r="M91" s="10" t="inlineStr"/>
      <c r="N91" s="10" t="inlineStr"/>
      <c r="O91" s="10" t="inlineStr">
        <is>
          <t>Alta (Ethos)</t>
        </is>
      </c>
      <c r="P91" s="10" t="inlineStr">
        <is>
          <t>2026-10-04</t>
        </is>
      </c>
      <c r="Q91" s="10" t="inlineStr">
        <is>
          <t>Revisión Ethos del respaldo 658424 (v431_03_10_r1.zip del 2026-10-02).</t>
        </is>
      </c>
    </row>
    <row r="92">
      <c r="A92" s="9" t="inlineStr">
        <is>
          <t>C16</t>
        </is>
      </c>
      <c r="B92" s="10" t="inlineStr">
        <is>
          <t>Ethos</t>
        </is>
      </c>
      <c r="C92" s="18" t="inlineStr">
        <is>
          <t>-</t>
        </is>
      </c>
      <c r="D92" s="10" t="inlineStr">
        <is>
          <t>Pieza presente / pieza en gripper</t>
        </is>
      </c>
      <c r="E92" s="10" t="inlineStr">
        <is>
          <t>Código + prueba en celda</t>
        </is>
      </c>
      <c r="F92" s="10" t="inlineStr">
        <is>
          <t>Programador robot</t>
        </is>
      </c>
      <c r="G92" s="10"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t>
        </is>
      </c>
      <c r="H92" s="10" t="inlineStr">
        <is>
          <t>• Se cierra cuando se cierran G09 y F40.
• Se reabre si un cambio quita o salta alguna espera de pieza fuera de dry cycle.</t>
        </is>
      </c>
      <c r="I92" s="10" t="inlineStr">
        <is>
          <t>G09, F40</t>
        </is>
      </c>
      <c r="J92" s="10" t="inlineStr">
        <is>
          <t>Se cierra con otro punto</t>
        </is>
      </c>
      <c r="K92" s="10" t="inlineStr"/>
      <c r="L92" s="10" t="inlineStr"/>
      <c r="M92" s="10" t="inlineStr"/>
      <c r="N92" s="10" t="inlineStr"/>
      <c r="O92" s="10" t="inlineStr">
        <is>
          <t>Alta (Ethos)</t>
        </is>
      </c>
      <c r="P92" s="10" t="inlineStr">
        <is>
          <t>2026-10-04</t>
        </is>
      </c>
      <c r="Q92" s="10" t="inlineStr">
        <is>
          <t>Revisión Ethos del respaldo 658424 (v431_03_10_r1.zip del 2026-10-02).</t>
        </is>
      </c>
    </row>
    <row r="93">
      <c r="A93" s="9" t="inlineStr">
        <is>
          <t>C17</t>
        </is>
      </c>
      <c r="B93" s="10" t="inlineStr">
        <is>
          <t>Ethos</t>
        </is>
      </c>
      <c r="C93" s="18" t="inlineStr">
        <is>
          <t>-</t>
        </is>
      </c>
      <c r="D93" s="10" t="inlineStr">
        <is>
          <t>Verificación de tuercas y red rabbit</t>
        </is>
      </c>
      <c r="E93" s="10" t="inlineStr">
        <is>
          <t>Código + prueba en celda</t>
        </is>
      </c>
      <c r="F93" s="10" t="inlineStr">
        <is>
          <t>Programador robot</t>
        </is>
      </c>
      <c r="G93" s="10" t="inlineStr">
        <is>
          <t>KRC/R1/Program/StyleApps/Options/style1app2opt1.src, KRC/R1/Program/StyleApps/Options/style1app2opt2.src, KRC/R1/Program/Styles/Options/style1opt1.src, KRC/R1/Program/Styles/Options/Style1Opt10AutoRR.src, KRC/R1/Program/StylePicks/Options/style1pick1opt1AutoRR.src, KRC/R1/Program/StyleDrops/Options/style1drop1opt2AutoRR.src, KRC/R1/Program/Utilities/RejectGE4.src, KRC/R1/System/$config.dat</t>
        </is>
      </c>
      <c r="H93" s="10" t="inlineStr">
        <is>
          <t>• Se cierra cuando se cierran F02, F03 y F19.</t>
        </is>
      </c>
      <c r="I93" s="10" t="inlineStr">
        <is>
          <t>F02, F03, F19</t>
        </is>
      </c>
      <c r="J93" s="10" t="inlineStr">
        <is>
          <t>Se cierra con otro punto</t>
        </is>
      </c>
      <c r="K93" s="10" t="inlineStr"/>
      <c r="L93" s="10" t="inlineStr"/>
      <c r="M93" s="10" t="inlineStr"/>
      <c r="N93" s="10" t="inlineStr"/>
      <c r="O93" s="10" t="inlineStr">
        <is>
          <t>Alta (Ethos)</t>
        </is>
      </c>
      <c r="P93" s="10" t="inlineStr">
        <is>
          <t>2026-10-04</t>
        </is>
      </c>
      <c r="Q93" s="10" t="inlineStr">
        <is>
          <t>Revisión Ethos del respaldo 658424 (v431_03_10_r1.zip del 2026-10-02).</t>
        </is>
      </c>
    </row>
    <row r="94">
      <c r="A94" s="9" t="inlineStr">
        <is>
          <t>C18</t>
        </is>
      </c>
      <c r="B94" s="10" t="inlineStr">
        <is>
          <t>Ethos</t>
        </is>
      </c>
      <c r="C94" s="18" t="inlineStr">
        <is>
          <t>-</t>
        </is>
      </c>
      <c r="D94" s="10" t="inlineStr">
        <is>
          <t>Handshakes AutomationCore de pick, application y drop</t>
        </is>
      </c>
      <c r="E94" s="10" t="inlineStr">
        <is>
          <t>Código + prueba en celda</t>
        </is>
      </c>
      <c r="F94" s="10" t="inlineStr">
        <is>
          <t>Programador robot</t>
        </is>
      </c>
      <c r="G94" s="10" t="inlineStr">
        <is>
          <t>KRC/R1/Program/Utilities/RejectGE4.src, KRC/R1/Program/StyleApps/Options/style1app2opt2.src, KRC/R1/Program/StylePicks/Options/style1pick1opt2.src, KRC/R1/Program/StyleDrops/Options/style1drop1opt1.src, KRC/R1/Program/StyleDrops/Options/style1drop1opt2AutoRR.src, KRC/R1/Program/Styles/Options/style1opt1.src, KRC/R1/TP/AutomationCore/automationcoreroutines.src</t>
        </is>
      </c>
      <c r="H94" s="10" t="inlineStr">
        <is>
          <t>• Se cierra cuando se cierran F20, F21 y F46.</t>
        </is>
      </c>
      <c r="I94" s="10" t="inlineStr">
        <is>
          <t>F20, F21, F46</t>
        </is>
      </c>
      <c r="J94" s="10" t="inlineStr">
        <is>
          <t>Se cierra con otro punto</t>
        </is>
      </c>
      <c r="K94" s="10" t="inlineStr"/>
      <c r="L94" s="10" t="inlineStr"/>
      <c r="M94" s="10" t="inlineStr"/>
      <c r="N94" s="10" t="inlineStr"/>
      <c r="O94" s="10" t="inlineStr">
        <is>
          <t>Alta (Ethos)</t>
        </is>
      </c>
      <c r="P94" s="10" t="inlineStr">
        <is>
          <t>2026-10-04</t>
        </is>
      </c>
      <c r="Q94" s="10" t="inlineStr">
        <is>
          <t>Revisión Ethos del respaldo 658424 (v431_03_10_r1.zip del 2026-10-02).</t>
        </is>
      </c>
    </row>
    <row r="95">
      <c r="A95" s="9" t="inlineStr">
        <is>
          <t>C19</t>
        </is>
      </c>
      <c r="B95" s="10" t="inlineStr">
        <is>
          <t>Ethos</t>
        </is>
      </c>
      <c r="C95" s="18" t="inlineStr">
        <is>
          <t>-</t>
        </is>
      </c>
      <c r="D95" s="10" t="inlineStr">
        <is>
          <t>Request to enter: doCriticalWZ nunca se escribe; el PLC ve entrada permitida</t>
        </is>
      </c>
      <c r="E95" s="10" t="inlineStr">
        <is>
          <t>Código + prueba en celda</t>
        </is>
      </c>
      <c r="F95" s="10" t="inlineStr">
        <is>
          <t>Programador robot / Seguridad</t>
        </is>
      </c>
      <c r="G95" s="10" t="inlineStr">
        <is>
          <t>KRC/R1/System/sps.sub, KRC/R1/TP/AutomationCore/automationcoreroutines.src, KRC/R1/Program/Centerline/PRELOAD.src, KRC/R1/Program/Centerline/centerline_weld.src</t>
        </is>
      </c>
      <c r="H95" s="10" t="inlineStr">
        <is>
          <t>• $OUT[145] doCriticalWZ se escribe en cada ciclo del submit.
• Su condición incluye PRELOAD con un paso activo y CENTERLINE_WELD en ejecución (o el estado real del pedestal), además de do930/do931/do932 ya corregidos (F35, F18).
• Prueba en celda: sin proceso de pedestal, $IN[6] detiene el robot en el siguiente punto con doCriticalWZ OFF; con un preload y con una soldadura en curso, doCriticalWZ queda ON mientras dura el proceso. Anotar fecha.
• Resultado de la revisión de seguridad de F11 adjunto.
• General: comentarios nuevos o cambiados según docs/CONVENTIONS.md (inglés, señal con dirección); el comentario que cite (C19) se quita o se actualiza; ningún encabezado de inline form ni línea dentro de un fold de form cambia sin estar declarado (F32, F21, F31).</t>
        </is>
      </c>
      <c r="I95" s="10" t="inlineStr">
        <is>
          <t>F12, F11, F35</t>
        </is>
      </c>
      <c r="J95" s="10" t="inlineStr">
        <is>
          <t>Cerrado - auditado</t>
        </is>
      </c>
      <c r="K95" s="10" t="inlineStr"/>
      <c r="L95" s="10" t="inlineStr"/>
      <c r="M95" s="10" t="inlineStr"/>
      <c r="N95" s="10" t="inlineStr"/>
      <c r="O95" s="10" t="inlineStr">
        <is>
          <t>Estándar Gestamp</t>
        </is>
      </c>
      <c r="P95" s="10" t="inlineStr">
        <is>
          <t>2026-10-11</t>
        </is>
      </c>
      <c r="Q95" s="10" t="inlineStr">
        <is>
          <t>doCriticalWZ lo escribe AutomationCore_BKG, activo como en Gestamp (mismo código que R20, que lo cerró).</t>
        </is>
      </c>
    </row>
    <row r="96">
      <c r="A96" s="16" t="inlineStr">
        <is>
          <t>C20</t>
        </is>
      </c>
      <c r="B96" s="5" t="inlineStr">
        <is>
          <t>Ethos</t>
        </is>
      </c>
      <c r="C96" s="19" t="inlineStr">
        <is>
          <t>-</t>
        </is>
      </c>
      <c r="D96" s="5" t="inlineStr">
        <is>
          <t>Conteo de soldaduras al final del ciclo: #CHECK apagado y WeldNoRequired distinto de 3</t>
        </is>
      </c>
      <c r="E96" s="5" t="inlineStr">
        <is>
          <t>Código + prueba en celda</t>
        </is>
      </c>
      <c r="F96" s="5" t="inlineStr">
        <is>
          <t>Programador robot</t>
        </is>
      </c>
      <c r="G96" s="5" t="inlineStr">
        <is>
          <t>KRC/R1/Program/Centerline/centerline_weld.src, KRC/R1/TP/AutomationCore/automationcoreroutines.src, KRC/R1/TP/AutomationCore/automationcoredata.dat</t>
        </is>
      </c>
      <c r="H96" s="5" t="inlineStr">
        <is>
          <t>• CENTERLINE_WELD llama AC_Process_Count(#Count1up) una vez por tuerca y solo con soldadura buena (F08).
• WeldNoRequired[1,1], [1,2], [1,7] y [1,8] = 3 (más las options que confirme F02) y la del red rabbit = 0.
• AC_Process_Count(#CHECK) se ejecuta al final de cada ciclo de producción y el conteo arranca en 0 en cada ciclo, también después de un ciclo cancelado.
• Prueba en celda: ciclo normal con do047 OFF; ciclo con una soldadura faltante (método seguro anotado) con do047 ON; ciclo cancelado seguido de uno completo con do047 OFF; resultado en dry cycle definido con F05. Anotar fecha.
• Si se modifica EndOfCycle, la edición queda listada en C28 (y es coherente con lo que decida F46).
• General: comentarios nuevos o cambiados según docs/CONVENTIONS.md (inglés, señal con dirección); el comentario que cite (C20) se quita o se actualiza; ningún encabezado de inline form ni línea dentro de un fold de form cambia sin estar declarado (F32, F21, F31).</t>
        </is>
      </c>
      <c r="I96" s="5" t="inlineStr">
        <is>
          <t>F46, F08, F02, F05</t>
        </is>
      </c>
      <c r="J96" s="6" t="inlineStr">
        <is>
          <t>Abierto</t>
        </is>
      </c>
      <c r="K96" s="6" t="inlineStr"/>
      <c r="L96" s="6" t="inlineStr"/>
      <c r="M96" s="6" t="inlineStr"/>
      <c r="N96" s="6" t="inlineStr"/>
      <c r="O96" s="7" t="inlineStr">
        <is>
          <t>Alta (Ethos)</t>
        </is>
      </c>
      <c r="P96" s="7" t="inlineStr">
        <is>
          <t>2026-10-04</t>
        </is>
      </c>
      <c r="Q96" s="7" t="inlineStr">
        <is>
          <t>Revisión Ethos del respaldo 658424 (v431_03_10_r1.zip del 2026-10-02).</t>
        </is>
      </c>
    </row>
    <row r="97">
      <c r="A97" s="16" t="inlineStr">
        <is>
          <t>C21</t>
        </is>
      </c>
      <c r="B97" s="5" t="inlineStr">
        <is>
          <t>Ethos</t>
        </is>
      </c>
      <c r="C97" s="19" t="inlineStr">
        <is>
          <t>-</t>
        </is>
      </c>
      <c r="D97" s="5" t="inlineStr">
        <is>
          <t>Fallas por mensajes AutomationCore: ningún HALT sin mensaje ni WAIT FOR FALSE</t>
        </is>
      </c>
      <c r="E97" s="5" t="inlineStr">
        <is>
          <t>Código + prueba en celda</t>
        </is>
      </c>
      <c r="F97" s="5" t="inlineStr">
        <is>
          <t>Programador robot</t>
        </is>
      </c>
      <c r="G97" s="5" t="inlineStr">
        <is>
          <t>KRC/R1/Program/Styles/style_1.src, KRC/R1/cell.src, KRC/R1/Program/Styles/Options/style1opt1.src, KRC/R1/Program/Centerline/centerline_weld.src, KRC/R1/Program/tm_useraction.src, KRC/R1/Program/Centerline/PRELOAD.src, KRC/R1/Program/Centerline/CENTERLINE_HOME.src,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t>
        </is>
      </c>
      <c r="H97" s="5" t="inlineStr">
        <is>
          <t>• F06, F07 y F15 cerrados.
• tm_useraction pone $OUT[4] do004ProcessFault ON y muestra un mensaje de celda que nombra la colisión antes de detener el programa.
• En KRC/R1/Program, cell.src y sps.sub no queda WAIT FOR FALSE, y cada HALT que quede va precedido de mensaje y $OUT[4] ON (salvo la pausa de ZERO_G1, C10).
• General: comentarios nuevos o cambiados según docs/CONVENTIONS.md (inglés, señal con dirección); el comentario que cite (C21) se quita o se actualiza; ningún encabezado de inline form ni línea dentro de un fold de form cambia sin estar declarado (F32, F21, F31).</t>
        </is>
      </c>
      <c r="I97" s="5" t="inlineStr">
        <is>
          <t>F06, F07, F15</t>
        </is>
      </c>
      <c r="J97" s="6" t="inlineStr">
        <is>
          <t>Abierto</t>
        </is>
      </c>
      <c r="K97" s="6" t="inlineStr"/>
      <c r="L97" s="6" t="inlineStr"/>
      <c r="M97" s="6" t="inlineStr"/>
      <c r="N97" s="6" t="inlineStr"/>
      <c r="O97" s="7" t="inlineStr">
        <is>
          <t>Alta (Ethos)</t>
        </is>
      </c>
      <c r="P97" s="7" t="inlineStr">
        <is>
          <t>2026-10-04</t>
        </is>
      </c>
      <c r="Q97" s="7" t="inlineStr">
        <is>
          <t>Revisión Ethos del respaldo 658424 (v431_03_10_r1.zip del 2026-10-02).</t>
        </is>
      </c>
    </row>
    <row r="98">
      <c r="A98" s="16" t="inlineStr">
        <is>
          <t>C22</t>
        </is>
      </c>
      <c r="B98" s="5" t="inlineStr">
        <is>
          <t>Ethos</t>
        </is>
      </c>
      <c r="C98" s="19" t="inlineStr">
        <is>
          <t>-</t>
        </is>
      </c>
      <c r="D98" s="5" t="inlineStr">
        <is>
          <t>Grippers por inline forms GripperTech</t>
        </is>
      </c>
      <c r="E98" s="5" t="inlineStr">
        <is>
          <t>Código + prueba en celda</t>
        </is>
      </c>
      <c r="F98" s="5" t="inlineStr">
        <is>
          <t>Programador robot / Puesta en marcha</t>
        </is>
      </c>
      <c r="G98"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98" s="5" t="inlineStr">
        <is>
          <t>• Se cumplen F31, F33 y F19: en los módulos listados toda acción de gripper es un form GripperTech del gripper 1 con parámetros iguales a la llamada.
• General: comentarios nuevos o cambiados según docs/CONVENTIONS.md (inglés, señal con dirección); el comentario que cite (C22) se quita o se actualiza; ningún encabezado de inline form ni línea dentro de un fold de form cambia sin estar declarado (F32, F21, F31).</t>
        </is>
      </c>
      <c r="I98" s="5" t="inlineStr">
        <is>
          <t>F31, F33, F19</t>
        </is>
      </c>
      <c r="J98" s="6" t="inlineStr">
        <is>
          <t>Abierto</t>
        </is>
      </c>
      <c r="K98" s="6" t="inlineStr"/>
      <c r="L98" s="6" t="inlineStr"/>
      <c r="M98" s="6" t="inlineStr"/>
      <c r="N98" s="6" t="inlineStr"/>
      <c r="O98" s="7" t="inlineStr">
        <is>
          <t>Alta (Ethos)</t>
        </is>
      </c>
      <c r="P98" s="7" t="inlineStr">
        <is>
          <t>2026-10-04</t>
        </is>
      </c>
      <c r="Q98" s="7" t="inlineStr">
        <is>
          <t>Revisión Ethos del respaldo 658424 (v431_03_10_r1.zip del 2026-10-02).</t>
        </is>
      </c>
    </row>
    <row r="99">
      <c r="A99" s="9" t="inlineStr">
        <is>
          <t>C23</t>
        </is>
      </c>
      <c r="B99" s="10" t="inlineStr">
        <is>
          <t>Ethos</t>
        </is>
      </c>
      <c r="C99" s="18" t="inlineStr">
        <is>
          <t>-</t>
        </is>
      </c>
      <c r="D99" s="10" t="inlineStr">
        <is>
          <t>Nombres AutomationCore para la E/S, sin direcciones literales</t>
        </is>
      </c>
      <c r="E99" s="10" t="inlineStr">
        <is>
          <t>Código</t>
        </is>
      </c>
      <c r="F99" s="10" t="inlineStr">
        <is>
          <t>Programador robot</t>
        </is>
      </c>
      <c r="G99" s="10" t="inlineStr">
        <is>
          <t>KRC/R1/Program/Centerline/centerline_weld.src, KRC/R1/Program/Centerline/PRELOAD.src, KRC/R1/Program/Centerline/CENTERLINE_HOME.src, KRC/R1/System/sps.sub, KRC/R1/System/$config.dat, KRC/R1/TP/AutomationCore/automationcoreroutines.dat</t>
        </is>
      </c>
      <c r="H99" s="10" t="inlineStr">
        <is>
          <t>• Se cierra cuando se cierran F17, F29 y F36.</t>
        </is>
      </c>
      <c r="I99" s="10" t="inlineStr">
        <is>
          <t>F17, F29, F36</t>
        </is>
      </c>
      <c r="J99" s="10" t="inlineStr">
        <is>
          <t>Se cierra con otro punto</t>
        </is>
      </c>
      <c r="K99" s="10" t="inlineStr"/>
      <c r="L99" s="10" t="inlineStr"/>
      <c r="M99" s="10" t="inlineStr"/>
      <c r="N99" s="10" t="inlineStr"/>
      <c r="O99" s="10" t="inlineStr">
        <is>
          <t>Alta (Ethos)</t>
        </is>
      </c>
      <c r="P99" s="10" t="inlineStr">
        <is>
          <t>2026-10-04</t>
        </is>
      </c>
      <c r="Q99" s="10" t="inlineStr">
        <is>
          <t>Revisión Ethos del respaldo 658424 (v431_03_10_r1.zip del 2026-10-02).</t>
        </is>
      </c>
    </row>
    <row r="100">
      <c r="A100" s="9" t="inlineStr">
        <is>
          <t>C24</t>
        </is>
      </c>
      <c r="B100" s="10" t="inlineStr">
        <is>
          <t>Ethos</t>
        </is>
      </c>
      <c r="C100" s="18" t="inlineStr">
        <is>
          <t>-</t>
        </is>
      </c>
      <c r="D100" s="10" t="inlineStr">
        <is>
          <t>Los comentarios nombran la señal con su dirección</t>
        </is>
      </c>
      <c r="E100" s="10" t="inlineStr">
        <is>
          <t>Sin acción</t>
        </is>
      </c>
      <c r="F100" s="10" t="inlineStr">
        <is>
          <t>Programador robot</t>
        </is>
      </c>
      <c r="G100" s="10"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100" s="10" t="inlineStr">
        <is>
          <t>• Toda acción de E/S o espera nueva o cambiada del respaldo tiene en las líneas de arriba un comentario con dirección y nombre declarado.
• Ningún comentario nuevo o cambiado escribe '$IN/$OUT[n] nombre' con un nombre no declarado en ese índice.</t>
        </is>
      </c>
      <c r="I100" s="10" t="inlineStr"/>
      <c r="J100" s="10" t="inlineStr">
        <is>
          <t>Cerrado - depuración</t>
        </is>
      </c>
      <c r="K100" s="10" t="inlineStr"/>
      <c r="L100" s="10" t="inlineStr"/>
      <c r="M100" s="10" t="inlineStr"/>
      <c r="N100" s="10" t="inlineStr"/>
      <c r="O100" s="10" t="inlineStr">
        <is>
          <t>Alta (Ethos)</t>
        </is>
      </c>
      <c r="P100" s="10" t="inlineStr">
        <is>
          <t>2026-10-04</t>
        </is>
      </c>
      <c r="Q100" s="10" t="inlineStr">
        <is>
          <t>Revisión Ethos del respaldo 658424 (v431_03_10_r1.zip del 2026-10-02).</t>
        </is>
      </c>
    </row>
    <row r="101">
      <c r="A101" s="9" t="inlineStr">
        <is>
          <t>C25</t>
        </is>
      </c>
      <c r="B101" s="10" t="inlineStr">
        <is>
          <t>Ethos</t>
        </is>
      </c>
      <c r="C101" s="18" t="inlineStr">
        <is>
          <t>-</t>
        </is>
      </c>
      <c r="D101" s="10" t="inlineStr">
        <is>
          <t>Inline forms consistentes con el código</t>
        </is>
      </c>
      <c r="E101" s="10" t="inlineStr">
        <is>
          <t>Código</t>
        </is>
      </c>
      <c r="F101" s="10" t="inlineStr">
        <is>
          <t>Programador robot</t>
        </is>
      </c>
      <c r="G101" s="10"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KRC/R1/Program/StyleApps/Options/style1app2opt2.src, KRC/R1/Program/StyleDrops/Options/style1drop1opt1.src, KRC/R1/Program/StyleDrops/Options/style1drop1opt2AutoRR.src, KRC/R1/Program/Utilities/RejectGE4.src</t>
        </is>
      </c>
      <c r="H101" s="10" t="inlineStr">
        <is>
          <t>• Se cierra cuando se cierran F21, F31 y F32.</t>
        </is>
      </c>
      <c r="I101" s="10" t="inlineStr">
        <is>
          <t>F21, F31, F32</t>
        </is>
      </c>
      <c r="J101" s="10" t="inlineStr">
        <is>
          <t>Se cierra con otro punto</t>
        </is>
      </c>
      <c r="K101" s="10" t="inlineStr"/>
      <c r="L101" s="10" t="inlineStr"/>
      <c r="M101" s="10" t="inlineStr"/>
      <c r="N101" s="10" t="inlineStr"/>
      <c r="O101" s="10" t="inlineStr">
        <is>
          <t>Alta (Ethos)</t>
        </is>
      </c>
      <c r="P101" s="10" t="inlineStr">
        <is>
          <t>2026-10-04</t>
        </is>
      </c>
      <c r="Q101" s="10" t="inlineStr">
        <is>
          <t>Revisión Ethos del respaldo 658424 (v431_03_10_r1.zip del 2026-10-02).</t>
        </is>
      </c>
    </row>
    <row r="102">
      <c r="A102" s="9" t="inlineStr">
        <is>
          <t>C26</t>
        </is>
      </c>
      <c r="B102" s="10" t="inlineStr">
        <is>
          <t>Ethos</t>
        </is>
      </c>
      <c r="C102" s="18" t="inlineStr">
        <is>
          <t>-</t>
        </is>
      </c>
      <c r="D102" s="10" t="inlineStr">
        <is>
          <t>Solo inglés en comentarios, títulos de fold y &amp;COMMENT</t>
        </is>
      </c>
      <c r="E102" s="10" t="inlineStr">
        <is>
          <t>Sin acción</t>
        </is>
      </c>
      <c r="F102" s="10" t="inlineStr">
        <is>
          <t>Programador robot</t>
        </is>
      </c>
      <c r="G102" s="10"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102" s="10" t="inlineStr">
        <is>
          <t>• No aparece texto en español en comentarios, títulos de fold o &amp;COMMENT nuevos o cambiados del respaldo.
• Si se renombra un identificador del integrador, se renombra en la declaración y en todas sus referencias en el mismo respaldo, y los módulos compilan.</t>
        </is>
      </c>
      <c r="I102" s="10" t="inlineStr"/>
      <c r="J102" s="10" t="inlineStr">
        <is>
          <t>Cerrado - depuración</t>
        </is>
      </c>
      <c r="K102" s="10" t="inlineStr"/>
      <c r="L102" s="10" t="inlineStr"/>
      <c r="M102" s="10" t="inlineStr"/>
      <c r="N102" s="10" t="inlineStr"/>
      <c r="O102" s="10" t="inlineStr">
        <is>
          <t>Alta (Ethos)</t>
        </is>
      </c>
      <c r="P102" s="10" t="inlineStr">
        <is>
          <t>2026-10-04</t>
        </is>
      </c>
      <c r="Q102" s="10" t="inlineStr">
        <is>
          <t>Revisión Ethos del respaldo 658424 (v431_03_10_r1.zip del 2026-10-02).</t>
        </is>
      </c>
    </row>
    <row r="103">
      <c r="A103" s="9" t="inlineStr">
        <is>
          <t>C27</t>
        </is>
      </c>
      <c r="B103" s="10" t="inlineStr">
        <is>
          <t>Ethos</t>
        </is>
      </c>
      <c r="C103" s="18" t="inlineStr">
        <is>
          <t>-</t>
        </is>
      </c>
      <c r="D103" s="10" t="inlineStr">
        <is>
          <t>Proceso controlado por robot no compartido; regla de dos procesos</t>
        </is>
      </c>
      <c r="E103" s="10" t="inlineStr">
        <is>
          <t>Sin acción</t>
        </is>
      </c>
      <c r="F103" s="10" t="inlineStr">
        <is>
          <t>Ethos (Edgar)</t>
        </is>
      </c>
      <c r="G103" s="10" t="inlineStr"/>
      <c r="H103" s="10" t="inlineStr">
        <is>
          <t>• Se reabre solo si R10 pasa de dos procesos o si otro robot empieza a usar el pedestal CenterLine.</t>
        </is>
      </c>
      <c r="I103" s="10" t="inlineStr"/>
      <c r="J103" s="10" t="inlineStr">
        <is>
          <t>No aplica</t>
        </is>
      </c>
      <c r="K103" s="10" t="inlineStr"/>
      <c r="L103" s="10" t="inlineStr"/>
      <c r="M103" s="10" t="inlineStr"/>
      <c r="N103" s="10" t="inlineStr"/>
      <c r="O103" s="10" t="inlineStr">
        <is>
          <t>Alta (Ethos)</t>
        </is>
      </c>
      <c r="P103" s="10" t="inlineStr">
        <is>
          <t>2026-10-04</t>
        </is>
      </c>
      <c r="Q103" s="10" t="inlineStr">
        <is>
          <t>Revisión Ethos del respaldo 658424 (v431_03_10_r1.zip del 2026-10-02).</t>
        </is>
      </c>
    </row>
    <row r="104">
      <c r="A104" s="16" t="inlineStr">
        <is>
          <t>C28</t>
        </is>
      </c>
      <c r="B104" s="5" t="inlineStr">
        <is>
          <t>Ethos</t>
        </is>
      </c>
      <c r="C104" s="19" t="inlineStr">
        <is>
          <t>-</t>
        </is>
      </c>
      <c r="D104" s="5" t="inlineStr">
        <is>
          <t>Ediciones del integrador en archivos del proveedor: listarlas en la entrega</t>
        </is>
      </c>
      <c r="E104" s="5" t="inlineStr">
        <is>
          <t>Procedimiento</t>
        </is>
      </c>
      <c r="F104" s="5" t="inlineStr">
        <is>
          <t>Ethos (Edgar) / Programador robot</t>
        </is>
      </c>
      <c r="G104" s="5" t="inlineStr">
        <is>
          <t>KRC/R1/System/bas.src, KRC/R1/TP/AutomationCore/automationcoreroutines.src, KRC/R1/TP/AutomationCore/automationcoreroutines.dat, KRC/R1/TP/GripperSpotTech/Grp_Func.src, KRC/R1/TP/GripperSpotTech/grp_user.src, KRC/R1/TP/BrakeTest/braketeststart.src, KRC/R1/TP/BrakeTest/braketestback.src, KRC/R1/TP/GLUETECH, KRC/R1/Program/MoveToPurge.src</t>
        </is>
      </c>
      <c r="H104" s="5" t="inlineStr">
        <is>
          <t>• Documento de entrega adjunto con las ediciones de la sección 'Integrator edits found inside vendor files' de docs/FINDINGS.md más las nuevas, cada una con archivo, rutina o fold, cambio y razón.
• En cada respaldo, todo cambio en archivos KUKA de sistema o de tech package (KRC/R1/TP/**, KRC/R1/System/ salvo $config.dat y sps.sub) o en machine data, respecto al último estado auditado, aparece en esa lista con fecha; un cambio sin listar reabre el punto.
• La versión final refleja lo decidido en F12, F46 y lo cambiado por C09, C12, C14, C19, C20, C22, F17, F36 y F47.</t>
        </is>
      </c>
      <c r="I104" s="5" t="inlineStr">
        <is>
          <t>F12, F46, C09, C12, C14, C19, C20</t>
        </is>
      </c>
      <c r="J104" s="6" t="inlineStr">
        <is>
          <t>Abierto</t>
        </is>
      </c>
      <c r="K104" s="6" t="inlineStr"/>
      <c r="L104" s="6" t="inlineStr"/>
      <c r="M104" s="6" t="inlineStr"/>
      <c r="N104" s="6" t="inlineStr"/>
      <c r="O104" s="7" t="inlineStr">
        <is>
          <t>Nota</t>
        </is>
      </c>
      <c r="P104" s="7" t="inlineStr">
        <is>
          <t>2026-10-11</t>
        </is>
      </c>
      <c r="Q104" s="7" t="inlineStr">
        <is>
          <t>Respaldo del 10/10 (versión de oficina del 05/10 cargada + cambios suyos del 06 al 10/10). Ediciones nuevas en archivos de KUKA: ir_stopm.src sin GLUE_TechStop() ni GLUE_Restart() (GlueTech instalado y sin uso; usa $TIMER[12..16]) y tm_bib.dat (TQM_ACT T21..T26 de 100000 a 1000). Si se actualiza o desinstala GlueTech o TorqueMonitoring, revisarlas.</t>
        </is>
      </c>
    </row>
  </sheetData>
  <autoFilter ref="A1:Q104"/>
  <conditionalFormatting sqref="A2:Q104">
    <cfRule type="expression" priority="1" dxfId="0" stopIfTrue="1">
      <formula>OR($J2="Cerrado - auditado",$J2="Cerrado - depuración",$J2="Aceptado sin cambio",$J2="No aplica",$J2="Sin acción - documentado",$J2="Se cierra con otro punto")</formula>
    </cfRule>
  </conditionalFormatting>
  <dataValidations count="1">
    <dataValidation sqref="J2:J104" showDropDown="0" showInputMessage="0" showErrorMessage="1" allowBlank="0" errorTitle="Estado" error="Elige un estado de la lista (hoja Instrucciones)." type="list">
      <formula1>"Abierto,Requiere decisión,En proceso,Corregido - por auditar,Cerrado - auditado,Reabierto,Aceptado sin cambio,Cerrado - depuración,No aplica,Sin acción - documentado,Se cierra con otro punto"</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0" customWidth="1" min="2" max="2"/>
    <col width="12" customWidth="1" min="3" max="3"/>
  </cols>
  <sheetData>
    <row r="1">
      <c r="A1" s="20" t="inlineStr">
        <is>
          <t>Resumen de puntos abiertos</t>
        </is>
      </c>
    </row>
    <row r="2">
      <c r="A2" s="21" t="inlineStr">
        <is>
          <t>Generado 2026-10-11 08:05 (hora del centro de México)</t>
        </is>
      </c>
    </row>
    <row r="3">
      <c r="A3" s="22" t="inlineStr">
        <is>
          <t>Estado</t>
        </is>
      </c>
      <c r="B3" s="22" t="inlineStr">
        <is>
          <t>Puntos</t>
        </is>
      </c>
    </row>
    <row r="4">
      <c r="A4" s="23" t="inlineStr">
        <is>
          <t>Abierto</t>
        </is>
      </c>
      <c r="B4" s="23">
        <f>COUNTIF('Puntos abiertos'!$J$2:$J$104,A4)</f>
        <v/>
      </c>
    </row>
    <row r="5">
      <c r="A5" s="23" t="inlineStr">
        <is>
          <t>Requiere decisión</t>
        </is>
      </c>
      <c r="B5" s="23">
        <f>COUNTIF('Puntos abiertos'!$J$2:$J$104,A5)</f>
        <v/>
      </c>
    </row>
    <row r="6">
      <c r="A6" s="23" t="inlineStr">
        <is>
          <t>En proceso</t>
        </is>
      </c>
      <c r="B6" s="23">
        <f>COUNTIF('Puntos abiertos'!$J$2:$J$104,A6)</f>
        <v/>
      </c>
    </row>
    <row r="7">
      <c r="A7" s="23" t="inlineStr">
        <is>
          <t>Corregido - por auditar</t>
        </is>
      </c>
      <c r="B7" s="23">
        <f>COUNTIF('Puntos abiertos'!$J$2:$J$104,A7)</f>
        <v/>
      </c>
    </row>
    <row r="8">
      <c r="A8" s="23" t="inlineStr">
        <is>
          <t>Cerrado - auditado</t>
        </is>
      </c>
      <c r="B8" s="23">
        <f>COUNTIF('Puntos abiertos'!$J$2:$J$104,A8)</f>
        <v/>
      </c>
    </row>
    <row r="9">
      <c r="A9" s="23" t="inlineStr">
        <is>
          <t>Reabierto</t>
        </is>
      </c>
      <c r="B9" s="23">
        <f>COUNTIF('Puntos abiertos'!$J$2:$J$104,A9)</f>
        <v/>
      </c>
    </row>
    <row r="10">
      <c r="A10" s="23" t="inlineStr">
        <is>
          <t>Aceptado sin cambio</t>
        </is>
      </c>
      <c r="B10" s="23">
        <f>COUNTIF('Puntos abiertos'!$J$2:$J$104,A10)</f>
        <v/>
      </c>
    </row>
    <row r="11">
      <c r="A11" s="23" t="inlineStr">
        <is>
          <t>Cerrado - depuración</t>
        </is>
      </c>
      <c r="B11" s="23">
        <f>COUNTIF('Puntos abiertos'!$J$2:$J$104,A11)</f>
        <v/>
      </c>
    </row>
    <row r="12">
      <c r="A12" s="23" t="inlineStr">
        <is>
          <t>No aplica</t>
        </is>
      </c>
      <c r="B12" s="23">
        <f>COUNTIF('Puntos abiertos'!$J$2:$J$104,A12)</f>
        <v/>
      </c>
    </row>
    <row r="13">
      <c r="A13" s="23" t="inlineStr">
        <is>
          <t>Sin acción - documentado</t>
        </is>
      </c>
      <c r="B13" s="23">
        <f>COUNTIF('Puntos abiertos'!$J$2:$J$104,A13)</f>
        <v/>
      </c>
    </row>
    <row r="14">
      <c r="A14" s="23" t="inlineStr">
        <is>
          <t>Se cierra con otro punto</t>
        </is>
      </c>
      <c r="B14" s="23">
        <f>COUNTIF('Puntos abiertos'!$J$2:$J$104,A14)</f>
        <v/>
      </c>
    </row>
    <row r="15">
      <c r="A15" s="24" t="inlineStr">
        <is>
          <t>Total</t>
        </is>
      </c>
      <c r="B15" s="24">
        <f>SUM(B4:B14)</f>
        <v/>
      </c>
    </row>
    <row r="17">
      <c r="A17" s="22" t="inlineStr">
        <is>
          <t>Severidad</t>
        </is>
      </c>
      <c r="B17" s="22" t="inlineStr">
        <is>
          <t>Total</t>
        </is>
      </c>
      <c r="C17" s="22" t="inlineStr">
        <is>
          <t>Pendientes</t>
        </is>
      </c>
    </row>
    <row r="18">
      <c r="A18" s="23" t="inlineStr">
        <is>
          <t>Crítico</t>
        </is>
      </c>
      <c r="B18" s="23">
        <f>COUNTIF('Puntos abiertos'!$C$2:$C$104,A18)</f>
        <v/>
      </c>
      <c r="C18" s="23">
        <f>COUNTIFS('Puntos abiertos'!$C$2:$C$104,A18,'Puntos abiertos'!$J$2:$J$104,"Abierto")+COUNTIFS('Puntos abiertos'!$C$2:$C$104,A18,'Puntos abiertos'!$J$2:$J$104,"Requiere decisión")+COUNTIFS('Puntos abiertos'!$C$2:$C$104,A18,'Puntos abiertos'!$J$2:$J$104,"En proceso")+COUNTIFS('Puntos abiertos'!$C$2:$C$104,A18,'Puntos abiertos'!$J$2:$J$104,"Corregido - por auditar")+COUNTIFS('Puntos abiertos'!$C$2:$C$104,A18,'Puntos abiertos'!$J$2:$J$104,"Reabierto")</f>
        <v/>
      </c>
    </row>
    <row r="19">
      <c r="A19" s="23" t="inlineStr">
        <is>
          <t>Alto</t>
        </is>
      </c>
      <c r="B19" s="23">
        <f>COUNTIF('Puntos abiertos'!$C$2:$C$104,A19)</f>
        <v/>
      </c>
      <c r="C19" s="23">
        <f>COUNTIFS('Puntos abiertos'!$C$2:$C$104,A19,'Puntos abiertos'!$J$2:$J$104,"Abierto")+COUNTIFS('Puntos abiertos'!$C$2:$C$104,A19,'Puntos abiertos'!$J$2:$J$104,"Requiere decisión")+COUNTIFS('Puntos abiertos'!$C$2:$C$104,A19,'Puntos abiertos'!$J$2:$J$104,"En proceso")+COUNTIFS('Puntos abiertos'!$C$2:$C$104,A19,'Puntos abiertos'!$J$2:$J$104,"Corregido - por auditar")+COUNTIFS('Puntos abiertos'!$C$2:$C$104,A19,'Puntos abiertos'!$J$2:$J$104,"Reabierto")</f>
        <v/>
      </c>
    </row>
    <row r="20">
      <c r="A20" s="23" t="inlineStr">
        <is>
          <t>Medio</t>
        </is>
      </c>
      <c r="B20" s="23">
        <f>COUNTIF('Puntos abiertos'!$C$2:$C$104,A20)</f>
        <v/>
      </c>
      <c r="C20" s="23">
        <f>COUNTIFS('Puntos abiertos'!$C$2:$C$104,A20,'Puntos abiertos'!$J$2:$J$104,"Abierto")+COUNTIFS('Puntos abiertos'!$C$2:$C$104,A20,'Puntos abiertos'!$J$2:$J$104,"Requiere decisión")+COUNTIFS('Puntos abiertos'!$C$2:$C$104,A20,'Puntos abiertos'!$J$2:$J$104,"En proceso")+COUNTIFS('Puntos abiertos'!$C$2:$C$104,A20,'Puntos abiertos'!$J$2:$J$104,"Corregido - por auditar")+COUNTIFS('Puntos abiertos'!$C$2:$C$104,A20,'Puntos abiertos'!$J$2:$J$104,"Reabierto")</f>
        <v/>
      </c>
    </row>
    <row r="21">
      <c r="A21" s="23" t="inlineStr">
        <is>
          <t>Bajo</t>
        </is>
      </c>
      <c r="B21" s="23">
        <f>COUNTIF('Puntos abiertos'!$C$2:$C$104,A21)</f>
        <v/>
      </c>
      <c r="C21" s="23">
        <f>COUNTIFS('Puntos abiertos'!$C$2:$C$104,A21,'Puntos abiertos'!$J$2:$J$104,"Abierto")+COUNTIFS('Puntos abiertos'!$C$2:$C$104,A21,'Puntos abiertos'!$J$2:$J$104,"Requiere decisión")+COUNTIFS('Puntos abiertos'!$C$2:$C$104,A21,'Puntos abiertos'!$J$2:$J$104,"En proceso")+COUNTIFS('Puntos abiertos'!$C$2:$C$104,A21,'Puntos abiertos'!$J$2:$J$104,"Corregido - por auditar")+COUNTIFS('Puntos abiertos'!$C$2:$C$104,A21,'Puntos abiertos'!$J$2:$J$104,"Reabierto")</f>
        <v/>
      </c>
    </row>
    <row r="23">
      <c r="A23" s="22" t="inlineStr">
        <is>
          <t>Origen</t>
        </is>
      </c>
      <c r="B23" s="22" t="inlineStr">
        <is>
          <t>Total</t>
        </is>
      </c>
      <c r="C23" s="22" t="inlineStr">
        <is>
          <t>Pendientes</t>
        </is>
      </c>
    </row>
    <row r="24">
      <c r="A24" s="23" t="inlineStr">
        <is>
          <t>Gestamp</t>
        </is>
      </c>
      <c r="B24" s="23">
        <f>COUNTIF('Puntos abiertos'!$B$2:$B$104,"Gestamp*")</f>
        <v/>
      </c>
      <c r="C24" s="23">
        <f>COUNTIFS('Puntos abiertos'!$B$2:$B$104,"Gestamp*",'Puntos abiertos'!$J$2:$J$104,"Abierto")+COUNTIFS('Puntos abiertos'!$B$2:$B$104,"Gestamp*",'Puntos abiertos'!$J$2:$J$104,"Requiere decisión")+COUNTIFS('Puntos abiertos'!$B$2:$B$104,"Gestamp*",'Puntos abiertos'!$J$2:$J$104,"En proceso")+COUNTIFS('Puntos abiertos'!$B$2:$B$104,"Gestamp*",'Puntos abiertos'!$J$2:$J$104,"Corregido - por auditar")+COUNTIFS('Puntos abiertos'!$B$2:$B$104,"Gestamp*",'Puntos abiertos'!$J$2:$J$104,"Reabierto")</f>
        <v/>
      </c>
    </row>
    <row r="25">
      <c r="A25" s="23" t="inlineStr">
        <is>
          <t>Ethos</t>
        </is>
      </c>
      <c r="B25" s="23">
        <f>COUNTIF('Puntos abiertos'!$B$2:$B$104,"Ethos")</f>
        <v/>
      </c>
      <c r="C25" s="23">
        <f>COUNTIFS('Puntos abiertos'!$B$2:$B$104,"Ethos",'Puntos abiertos'!$J$2:$J$104,"Abierto")+COUNTIFS('Puntos abiertos'!$B$2:$B$104,"Ethos",'Puntos abiertos'!$J$2:$J$104,"Requiere decisión")+COUNTIFS('Puntos abiertos'!$B$2:$B$104,"Ethos",'Puntos abiertos'!$J$2:$J$104,"En proceso")+COUNTIFS('Puntos abiertos'!$B$2:$B$104,"Ethos",'Puntos abiertos'!$J$2:$J$104,"Corregido - por auditar")+COUNTIFS('Puntos abiertos'!$B$2:$B$104,"Ethos",'Puntos abiertos'!$J$2:$J$104,"Reabierto")</f>
        <v/>
      </c>
    </row>
    <row r="26">
      <c r="A26" s="23" t="inlineStr">
        <is>
          <t>Calvin (Ethos)</t>
        </is>
      </c>
      <c r="B26" s="23">
        <f>COUNTIF('Puntos abiertos'!$B$2:$B$104,"Calvin*")</f>
        <v/>
      </c>
      <c r="C26" s="23">
        <f>COUNTIFS('Puntos abiertos'!$B$2:$B$104,"Calvin*",'Puntos abiertos'!$J$2:$J$104,"Abierto")+COUNTIFS('Puntos abiertos'!$B$2:$B$104,"Calvin*",'Puntos abiertos'!$J$2:$J$104,"Requiere decisión")+COUNTIFS('Puntos abiertos'!$B$2:$B$104,"Calvin*",'Puntos abiertos'!$J$2:$J$104,"En proceso")+COUNTIFS('Puntos abiertos'!$B$2:$B$104,"Calvin*",'Puntos abiertos'!$J$2:$J$104,"Corregido - por auditar")+COUNTIFS('Puntos abiertos'!$B$2:$B$104,"Calvin*",'Puntos abiertos'!$J$2:$J$104,"Reabierto")</f>
        <v/>
      </c>
    </row>
    <row r="28">
      <c r="A28" s="21" t="inlineStr">
        <is>
          <t>Pendientes = Abierto, Requiere decisión, En proceso, Corregido - por auditar, Reabierto.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20" customWidth="1" min="1" max="1"/>
  </cols>
  <sheetData>
    <row r="1">
      <c r="A1" s="25" t="inlineStr">
        <is>
          <t>Cómo usar esta lista</t>
        </is>
      </c>
    </row>
    <row r="2">
      <c r="A2" s="26" t="inlineStr">
        <is>
          <t>1. Trabaja los puntos en el programa del robot. Respeta docs/CONVENTIONS.md del repositorio: comentarios en inglés con la señal nombrada ($OUT[n] nombre), sin código comentado, sin reabrir inline forms que tengan líneas escritas a mano.</t>
        </is>
      </c>
    </row>
    <row r="3">
      <c r="A3" s="26" t="inlineStr">
        <is>
          <t>2. En la hoja "Puntos abiertos" llena SOLO las columnas amarillas de los puntos que trabajaste: Estado, Qué cambió el programador, Módulos modificados, Evidencia / prueba en celda, Fecha programador.</t>
        </is>
      </c>
    </row>
    <row r="4">
      <c r="A4" s="26" t="inlineStr">
        <is>
          <t>3. Estado: pon "En proceso" si empezaste y no está listo, o "Corregido - por auditar" si el cambio está hecho y probado. No pongas Cerrado: lo pone la auditoría.</t>
        </is>
      </c>
    </row>
    <row r="5">
      <c r="A5" s="26" t="inlineStr">
        <is>
          <t>4. La evidencia es lo que pide el criterio de cierre: prueba en celda con fecha y resultado, valor leído en el smartPAD, documento de Gestamp. Sin evidencia el punto se reabre.</t>
        </is>
      </c>
    </row>
    <row r="6">
      <c r="A6" s="26" t="inlineStr">
        <is>
          <t>5. Al final del día saca un respaldo completo del robot (Archive → All), nómbralo 658424_AAAA-MM-DD_HHMM.zip con la hora en que lo sacaste, y envíalo junto con este archivo guardado como R10_Puntos_Abiertos_AAAA-MM-DD_HHMM.xlsx. No borres filas ni cambies las columnas blancas o grises.</t>
        </is>
      </c>
    </row>
    <row r="7">
      <c r="A7" s="26" t="inlineStr"/>
    </row>
    <row r="8">
      <c r="A8" s="25" t="inlineStr">
        <is>
          <t>Ejemplo de una fila llenada (formato esperado)</t>
        </is>
      </c>
    </row>
    <row r="9">
      <c r="A9" s="26" t="inlineStr">
        <is>
          <t>Estado: Corregido - por auditar</t>
        </is>
      </c>
    </row>
    <row r="10">
      <c r="A10" s="26" t="inlineStr">
        <is>
          <t>Qué cambió el programador: style1app1opt1..3: espera supervisada antes del LIN de aproximación (gun open LPT &gt; 120000, $IN[466], $IN[482], NOT $IN[470]) con $TIMER[21] 3 s, mensaje y do004ProcessFault. PRELOAD paso 20 ahora espera $IN[482].</t>
        </is>
      </c>
    </row>
    <row r="11">
      <c r="A11" s="26" t="inlineStr">
        <is>
          <t>Módulos modificados: style1app1opt1.src ... style1app1opt3.src, PRELOAD.src</t>
        </is>
      </c>
    </row>
    <row r="12">
      <c r="A12" s="26" t="inlineStr">
        <is>
          <t>Evidencia / prueba en celda: 2026-10-06, T1 50 %: clamp cerrado a mano, el robot se detuvo antes de P22 con mensaje; con todo abierto el ciclo siguió normal. 3 ciclos en automático OK.</t>
        </is>
      </c>
    </row>
    <row r="13">
      <c r="A13" s="26" t="inlineStr">
        <is>
          <t>Fecha programador: 2026-10-06</t>
        </is>
      </c>
    </row>
    <row r="14">
      <c r="A14" s="26" t="inlineStr"/>
    </row>
    <row r="15">
      <c r="A15" s="25" t="inlineStr">
        <is>
          <t>Puntos de Gestamp</t>
        </is>
      </c>
    </row>
    <row r="16">
      <c r="A16" s="26" t="inlineStr">
        <is>
          <t>Los puntos G01 a G22 vienen de la revisión de Gestamp del 2026-10-02 (BMW-03-10R1): columna Origen "Gestamp #n", fondo azul y el texto original de Gestamp en la columna Punto. Los Fnn/Cnn son de la revisión de Ethos y conservan la numeración del R20 (F37 no aplica en el R10; F44 a F52 son solo del R10). La lista de Calvin se verificó punto por punto: los puntos que él también señaló dicen "Calvin #n" en Origen. Esta lista es la única que se usa.</t>
        </is>
      </c>
    </row>
    <row r="17">
      <c r="A17" s="26" t="inlineStr">
        <is>
          <t>Desde el 2026-10-11 la base es tu programa: no se carga ninguna versión de oficina. Cada respaldo se audita contra el anterior. En los puntos que la oficina había corregido, la Nota auditoría dice qué le falta a tu programa; el PDF y docs/OPEN_ITEMS.es.md traen qué hacer y, como referencia, cómo lo resolvió la oficina.</t>
        </is>
      </c>
    </row>
    <row r="18">
      <c r="A18" s="26" t="inlineStr">
        <is>
          <t>Fila completa en verde: punto cerrado (Cerrado, Aceptado sin cambio, No aplica, Sin acción o Se cierra con otro punto), aunque sea crítico. No hay que hacer nada en esas filas.</t>
        </is>
      </c>
    </row>
    <row r="19">
      <c r="A19" s="26" t="inlineStr">
        <is>
          <t>Las anotaciones que Edgar acuerda con el programador van en la columna "Qué cambió el programador".</t>
        </is>
      </c>
    </row>
    <row r="20">
      <c r="A20" s="26" t="inlineStr">
        <is>
          <t>Estándar: no se pide más de lo que hace el respaldo de Gestamp NUT07_10R1 (ver la Nota auditoría de cada punto).</t>
        </is>
      </c>
    </row>
    <row r="21">
      <c r="A21" s="26" t="inlineStr"/>
    </row>
    <row r="22">
      <c r="A22" s="25" t="inlineStr">
        <is>
          <t>Estados</t>
        </is>
      </c>
    </row>
    <row r="23">
      <c r="A23" s="23" t="inlineStr">
        <is>
          <t>Abierto: Pendiente de trabajar.</t>
        </is>
      </c>
    </row>
    <row r="24">
      <c r="A24" s="23" t="inlineStr">
        <is>
          <t>Requiere decisión: Falta información o decisión (Gestamp, seguridad, Ethos) antes de programar.</t>
        </is>
      </c>
    </row>
    <row r="25">
      <c r="A25" s="23" t="inlineStr">
        <is>
          <t>En proceso: Lo pone el programador: trabajo empezado.</t>
        </is>
      </c>
    </row>
    <row r="26">
      <c r="A26" s="23" t="inlineStr">
        <is>
          <t>Corregido - por auditar: Lo pone el programador: cambio hecho y probado, pide auditoría.</t>
        </is>
      </c>
    </row>
    <row r="27">
      <c r="A27" s="23" t="inlineStr">
        <is>
          <t>Cerrado - auditado: Lo pone la auditoría: cumple el criterio de cierre en el respaldo.</t>
        </is>
      </c>
    </row>
    <row r="28">
      <c r="A28" s="23" t="inlineStr">
        <is>
          <t>Reabierto: Lo pone la auditoría: no se encontró el cambio o no cumple (ver Nota auditoría).</t>
        </is>
      </c>
    </row>
    <row r="29">
      <c r="A29" s="23" t="inlineStr">
        <is>
          <t>Aceptado sin cambio: Ethos / Gestamp decidieron no corregir; queda la razón.</t>
        </is>
      </c>
    </row>
    <row r="30">
      <c r="A30" s="23" t="inlineStr">
        <is>
          <t>Cerrado - depuración: Resuelto por la depuración del 2026-10-04.</t>
        </is>
      </c>
    </row>
    <row r="31">
      <c r="A31" s="23" t="inlineStr">
        <is>
          <t>No aplica: El punto ya cumple.</t>
        </is>
      </c>
    </row>
    <row r="32">
      <c r="A32" s="23" t="inlineStr">
        <is>
          <t>Sin acción - documentado: Se deja como está; la nota dice cuándo se reabriría.</t>
        </is>
      </c>
    </row>
    <row r="33">
      <c r="A33" s="23" t="inlineStr">
        <is>
          <t>Se cierra con otro punto: Duplica otro punto (columna Depende de); se cierra con él.</t>
        </is>
      </c>
    </row>
    <row r="35">
      <c r="A35" s="27" t="inlineStr">
        <is>
          <t>Colores: amarillo = lo llena el programador; gris = lo llena la auditoría; blanco = no se edita.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4" customWidth="1" min="1" max="1"/>
    <col width="30" customWidth="1" min="2" max="2"/>
    <col width="10" customWidth="1" min="3" max="3"/>
    <col width="10" customWidth="1" min="4" max="4"/>
    <col width="16" customWidth="1" min="5" max="5"/>
    <col width="80" customWidth="1" min="6" max="6"/>
  </cols>
  <sheetData>
    <row r="1">
      <c r="A1" s="28" t="inlineStr">
        <is>
          <t>Fecha auditoría</t>
        </is>
      </c>
      <c r="B1" s="28" t="inlineStr">
        <is>
          <t>Respaldo</t>
        </is>
      </c>
      <c r="C1" s="28" t="inlineStr">
        <is>
          <t>Cerrados</t>
        </is>
      </c>
      <c r="D1" s="28" t="inlineStr">
        <is>
          <t>Reabiertos</t>
        </is>
      </c>
      <c r="E1" s="28" t="inlineStr">
        <is>
          <t>Cambios de código</t>
        </is>
      </c>
      <c r="F1" s="28" t="inlineStr">
        <is>
          <t>Notas</t>
        </is>
      </c>
    </row>
    <row r="2">
      <c r="A2" s="23" t="inlineStr">
        <is>
          <t>2026-10-04</t>
        </is>
      </c>
      <c r="B2" s="23" t="inlineStr">
        <is>
          <t>658424_R10 (versión de oficina, tools/build_archive.py)</t>
        </is>
      </c>
      <c r="C2" s="23" t="n">
        <v>0</v>
      </c>
      <c r="D2" s="23" t="n">
        <v>0</v>
      </c>
      <c r="E2" s="23" t="inlineStr">
        <is>
          <t>12 módulos con cambios de lógica, 8 equivalentes tras renombres, 1 borrado (centerline_loop.src), 2 movidos (Styles/optiones → Styles/Options), 104 idénticos (tools/check_equivalence.py contra la base fb8a4c8)</t>
        </is>
      </c>
      <c r="F2" s="23" t="inlineStr">
        <is>
          <t>Alta de los 22 puntos de Gestamp, F01-F47 y C01-C28. Corregidos en oficina, por probar en celda: G11-G17 y G20 (y F24, F28, F30, F32, F36), más G04 (borrado en la depuración, falta borrarlo en el controlador); cerrados por la depuración: F45, C03, C24, C26; con avance de oficina y todavía abiertos: G05, G10, F03, F07, F16, F17, F29, F31. Base: commit de depuración fb8a4c8; cambios listados en tools/code_changes.json. La lista de Calvin (Gstamp_Robot_Open_Issues_2026-10-03) se verificó punto por punto: cada fila de 10R1 o All tiene su punto (referencias en origen_ref).</t>
        </is>
      </c>
    </row>
    <row r="3">
      <c r="A3" s="23" t="inlineStr">
        <is>
          <t>2026-10-05</t>
        </is>
      </c>
      <c r="B3" s="23" t="inlineStr">
        <is>
          <t>bmw_03_10_r1.zip (am.ini 2026-10-05 09:43, robot BMW_03_10_R1, serie 658424)</t>
        </is>
      </c>
      <c r="C3" s="23" t="n">
        <v>0</v>
      </c>
      <c r="D3" s="23" t="n">
        <v>0</v>
      </c>
      <c r="E3" s="23" t="inlineStr">
        <is>
          <t>62 archivos cambiados, 7 agregados (GUN_OPEN_CHECK, proyecto WorkVisual BMW-03-10R1_v8), 39 KRL con cambios de código (-230/+1323 líneas) contra el estado auditado (b5a8803)</t>
        </is>
      </c>
      <c r="F3" s="23" t="inlineStr">
        <is>
          <t>La versión de oficina NO se cargó: 29 archivos son el original byte por byte, 16 se editaron encima del original y siguen en el controlador los 22 archivos borrados por la depuración. El programador trabajó sobre el original: quitó los GOTO (G11), reinició los timers del gun (F07), agregó GUN_OPEN_CHECK e interrupts de vigilancia del gun (F01 parcial), flujo de agua real (F09), evaluación por option en sensor y cámara (F02, F19 parcial), cambió el nombre del robot (G01) y activó AutomationCore_BKG editando el proveedor (F12, nuevo F49). Nuevo F48: interlock de drop-off movido después de la aproximación. Sin Excel del programador: ningún punto se marcó como corregido. Siguiente paso: integrar sus cambios en la versión depurada y cargar esa. Reporte en audits/2026-10-05_09-43-37.</t>
        </is>
      </c>
    </row>
    <row r="4">
      <c r="A4" s="23" t="inlineStr">
        <is>
          <t>2026-10-05</t>
        </is>
      </c>
      <c r="B4" s="23" t="inlineStr">
        <is>
          <t>658424_R10_2026-10-05_0819.zip (versión integrada, armada sobre bmw_03_10_r1.zip)</t>
        </is>
      </c>
      <c r="C4" s="23" t="n">
        <v>0</v>
      </c>
      <c r="D4" s="23" t="n">
        <v>0</v>
      </c>
      <c r="E4" s="23" t="inlineStr">
        <is>
          <t>Contra la depuración fb8a4c8: 26 KRL con cambios de código, 2 módulos nuevos (GUN_OPEN_CHECK.src/.dat), 22 archivos fuera; contra el repositorio: idéntico (308 entradas). audit_backup: 0 FAIL, 0 WARN.</t>
        </is>
      </c>
      <c r="F4" s="23" t="inlineStr">
        <is>
          <t>Integración de los cambios del programador del 2026-10-05 en la versión depurada: GUN_OPEN_CHECK e interrupts del gun (F01 parcial), agua real (F09 parcial), evaluación por option en sensor y cámara (F02 parcial, F19 parcial), AutomationCore_BKG activo con ediciones del proveedor (F12/F49 pendientes de decisión), nombre BMW_03_10_R1 y mapeo TBEN conservados. F48: el zip regresa el interlock de drop-off antes del primer movimiento y conserva el AtDrop3 del programador (la pieza cae mejor en el conveyor; validado por Edgar con el programador). Ningún punto se cierra: todos piden prueba en celda con evidencia y respaldo. Reporte en audits/2026-10-05_integracion. El zip 658424_R10_2026-10-05_0809 (con AtDrop3 original) queda reemplazado por el 0819; no cargar el 0809.</t>
        </is>
      </c>
    </row>
    <row r="5">
      <c r="A5" s="23" t="inlineStr">
        <is>
          <t>2026-10-05</t>
        </is>
      </c>
      <c r="B5" s="23" t="inlineStr">
        <is>
          <t>bmw_03_10_r1.zip (am.ini 2026-10-05 14:46)</t>
        </is>
      </c>
      <c r="C5" s="23" t="n">
        <v>0</v>
      </c>
      <c r="D5" s="23" t="n">
        <v>0</v>
      </c>
      <c r="E5" s="23" t="inlineStr">
        <is>
          <t>Contra el estado auditado: 19 archivos originales, 17 editados encima del original, 22 borrados aún en el controlador; contra el respaldo de las 09:43: apps de soldadura partidas en A (estación 1, igual) y B (estación 2, puntos de soldadura retocados 1-5 mm), punto de cámara P3 re-enseñado (83 mm, ~16°), AC_ApplicationCheck(1) después de P22, PTP P1 quitado del drop.</t>
        </is>
      </c>
      <c r="F5" s="23" t="inlineStr">
        <is>
          <t>La versión integrada (zip 0819) no se cargó. Revisión independiente (2 agentes) de GUN_OPEN_CHECK/interrupts y del background de AutomationCore: integración fiel; huecos de vigilancia del gun (F01); con el background activo el Request to Enter deja de detener el robot si $OUT[930] quedó en ON (F35 sube a Alto), el background pisa las habilitaciones del Bosch, el cambio de electrodo corre sin probar (F43, F49). Nuevo F50. Sin Excel del programador. Reporte en audits/2026-10-05_14-46-44.</t>
        </is>
      </c>
    </row>
    <row r="6">
      <c r="A6" s="23" t="inlineStr">
        <is>
          <t>2026-10-05</t>
        </is>
      </c>
      <c r="B6" s="23" t="inlineStr">
        <is>
          <t>R10_paquete_2026-10-05_1351.zip (versión integrada sobre el respaldo de las 14:46; zip completo 658424_R10_2026-10-05_1351)</t>
        </is>
      </c>
      <c r="C6" s="23" t="n">
        <v>0</v>
      </c>
      <c r="D6" s="23" t="n">
        <v>0</v>
      </c>
      <c r="E6" s="23" t="inlineStr">
        <is>
          <t>Contra el respaldo de las 14:46: 57 programas a reemplazar, 2 a agregar (Styles/Options), 24 a borrar. Contra la depuración fb8a4c8: 38 KRL con cambios de código; audit_backup 0 FAIL, 0 WARN; zip idéntico al repositorio.</t>
        </is>
      </c>
      <c r="F6" s="23" t="inlineStr">
        <is>
          <t>Integrados: apps A/B por estación (F51) y punto de cámara. No integrados: permiso de aplicación después de P22 (F50) y P1 quitado del drop (preguntar al programador). Correcciones de la revisión independiente: interrupts antes de cada GUN_OPEN_CHECK y mensaje en GUN_OPEN_LOST (F01), aplicación 1 liberada por TRIGGER al salir de la cámara (F48, F20), background de AutomationCore apagado con sus salidas en OFF al arrancar (F49). Un revisor independiente revisó la integración antes de la entrega: sin defectos bloqueantes. Se entrega como paquete para WorkVisual (tools/make_package.py), no como respaldo completo. Reporte en audits/2026-10-05_integracion_2.</t>
        </is>
      </c>
    </row>
    <row r="7">
      <c r="A7" s="23" t="inlineStr">
        <is>
          <t>2026-10-07</t>
        </is>
      </c>
      <c r="B7" s="23" t="inlineStr">
        <is>
          <t>R10_paquete_2026-10-07_1341.zip (etapa 1 de tiempo ciclo sobre el respaldo de las 14:46 del 2026-10-05; incluye todo el paquete del 2026-10-05; zip completo 658424_R10_2026-10-07_1340)</t>
        </is>
      </c>
      <c r="C7" s="23" t="n">
        <v>0</v>
      </c>
      <c r="D7" s="23" t="n">
        <v>0</v>
      </c>
      <c r="E7" s="23" t="inlineStr">
        <is>
          <t>Contra el respaldo de las 14:46: 57 programas a reemplazar, 4 a agregar (Styles/Options y CL_CYCLE_TIME), 24 a borrar. Contra la entrega del 2026-10-05: 11 KRL con cambios de código (PRELOAD, CENTERLINE_WELD, Request_next_nut, las 6 apps de soldadura, $config.dat, CL_CYCLE_TIME nuevo); audit_backup 0 FAIL, 0 WARN; zip idéntico al repositorio.</t>
        </is>
      </c>
      <c r="F7" s="23" t="inlineStr">
        <is>
          <t>F52 etapa 1: la siguiente tuerca se alimenta al shuttle mientras el robot entra y suelda y se carga al pin a la salida (app 1 en P8, app 2 en P05); paso 20 con QFP regresado confirmado; medición de tiempos CL_CYCLE_TIME ($TIMER[20]). Dos revisores independientes (lógica de precarga, compilación y medición): sin errores de compilación ni rutas del ciclo normal con el shuttle en movimiento con la pieza en el pedestal; sus correcciones aplicadas antes de la entrega. Reporte en audits/2026-10-07_tiempo_ciclo (contra la entrega del 2026-10-05, 1b28a7e).</t>
        </is>
      </c>
    </row>
    <row r="8">
      <c r="A8" s="23" t="inlineStr">
        <is>
          <t>2026-10-11</t>
        </is>
      </c>
      <c r="B8" s="23" t="inlineStr">
        <is>
          <t>bmw_03_10_r1.zip del 2026-10-05 14:46 (sin respaldo nuevo): pasa a ser la base, commit 468e29f</t>
        </is>
      </c>
      <c r="C8" s="23" t="n">
        <v>0</v>
      </c>
      <c r="D8" s="23" t="n">
        <v>0</v>
      </c>
      <c r="E8" s="23" t="inlineStr">
        <is>
          <t>Cambio de base por decisión de Edgar (igual que R20): el programa del programador es el estado auditado, importado byte por byte; la versión de oficina queda en 84442ac como referencia. La auditoría de su respaldo contra la nueva base: 336 entradas sin cambio, 0 FAIL, 0 WARN.</t>
        </is>
      </c>
      <c r="F8" s="23" t="inlineStr">
        <is>
          <t>Los 16 puntos 'Corregido en oficina' se revisaron contra su programa (G11 cerrado; F30 en proceso; G04, F24, F28 y F32 se cierran con otro punto; el resto abierto). Estándar de Gestamp NUT07_10R1 aplicado por analogía con R20 (G08, G09, G18, F08, F49 y C12 aceptados sin cambio; C01 y C19 cerrados; G10, F02 y C14 con otro punto). Los 12 módulos sobrantes se siguen solo en G05. Registro en audits/2026-10-11_estandar_gestamp.</t>
        </is>
      </c>
    </row>
    <row r="9">
      <c r="A9" s="23" t="inlineStr">
        <is>
          <t>2026-10-11</t>
        </is>
      </c>
      <c r="B9" s="23" t="inlineStr">
        <is>
          <t>V431_03_WINDOWS-2CPT70E_BMW_03_10_R1_658424.zip (am.ini 2026-10-10 21:20, robot BMW_03_10_R1, serie 658424, KSS 8.3.29); importado byte por byte en cd17b34</t>
        </is>
      </c>
      <c r="C9" s="23" t="n">
        <v>10</v>
      </c>
      <c r="D9" s="23" t="n">
        <v>0</v>
      </c>
      <c r="E9" s="23" t="inlineStr">
        <is>
          <t>Contra su respaldo del 05/10 14:46: 90 archivos cambiados, 3 agregados, 19 faltantes (14 de los 8 módulos sobrantes que borró y 5 de proyectos WorkVisual), 51 KRL con cambios de código (-1562/+931). Es la versión de oficina del 05/10 cargada más sus cambios del 06 al 10/10. audit_backup: 12 FAIL revisados (2 falsas alarmas del auditor: forms OUT con el nombre de la señal y NUT_WELD_RETRY declarado en gun_open_check.dat; 1 real: redrabbit.dat sobrante ya no compila).</t>
        </is>
      </c>
      <c r="F9" s="23" t="inlineStr">
        <is>
          <t>Cerrados: G12, G13, G14, G15, G16, G17, G20, F01, F20 y F36. En proceso: G03/C08 (carga de 67.28 kg, falta la evidencia) y F12. F53 nuevo (pre-alimentación y tuerca pedida con la pieza en la pistola) aceptado como R20 F51. Midió con sus timers CT_*: 4.0 s dentro de la pistola por tuerca, 6.7 s tuerca a tuerca, 0.56 s de espera de tuerca por pieza. Riesgos: ventana de pistola de 150 ms (Gestamp 200), NUT_READY no se borra al soldar, tuerca confirmada por tiempo (5 s), cámara con 2.0 s fijos, F48/F50 sin cambio. Entrega de esperas del PLC en entregas/2026-10-11_F52_esperas_PLC. Registro en audits/2026-10-10_21-20-39.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2026-10-11T14:05:03Z</dcterms:created>
  <dcterms:modified xsi:type="dcterms:W3CDTF">2026-10-11T14:05:03Z</dcterms:modified>
</cp:coreProperties>
</file>