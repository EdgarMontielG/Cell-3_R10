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0"/>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(658424_R10_2026-10-05_0819.zip,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(658424_R10_2026-10-05_0819.zip,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(658424_R10_2026-10-05_0819.zip,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(658424_R10_2026-10-05_0819.zip,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(658424_R10_2026-10-05_0819.zip,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(658424_R10_2026-10-05_0819.zip,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(658424_R10_2026-10-05_0819.zip,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(658424_R10_2026-10-05_0819.zip,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(658424_R10_2026-10-05_0819.zip,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avance parcial</t>
        </is>
      </c>
      <c r="P24" s="7" t="inlineStr">
        <is>
          <t>2026-10-05</t>
        </is>
      </c>
      <c r="Q24" s="7" t="inlineStr">
        <is>
          <t>GUN_OPEN_CHECK e interrupts 20-22 del programador integrados en la versión depurada (rango 137000-142000 en GUN_OPEN_CHECK.dat; CL_GUN_OPEN_MIN eliminado). Falta clamp abierto $IN[466] y QFP regresado $IN[482] antes de entrar, y la prueba en celda.</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Integrado - avance parcial</t>
        </is>
      </c>
      <c r="P32" s="7" t="inlineStr">
        <is>
          <t>2026-10-05</t>
        </is>
      </c>
      <c r="Q32" s="7" t="inlineStr">
        <is>
          <t>El agua se calcula del SV0500 (mínimo 150 = 15 l/min, histéresis 10) y GUN_OPEN_CHECK la exige antes de entrar y al salir; $OUT[475] sigue a $IN[13]. Faltan: espera de agua y transformador antes del weld start en CENTERLINE_WELD, límite confirmado por escrito y la prueba en celda.</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 - pendiente decisión</t>
        </is>
      </c>
      <c r="P35" s="7" t="inlineStr">
        <is>
          <t>2026-10-05</t>
        </is>
      </c>
      <c r="Q35" s="7" t="inlineStr">
        <is>
          <t>AutomationCore_BKG queda activo en la versión integrada, como lo dejó el programador. Falta la decisión de Gestamp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(658424_R10_2026-10-05_0819.zip,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(658424_R10_2026-10-05_0819.zip,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(658424_R10_2026-10-05_0819.zip,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(658424_R10_2026-10-05_0819.zip,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(658424_R10_2026-10-05_0819.zip, armada sobre el respaldo del programador). Cargarla y hacer la prueba de este punto.</t>
        </is>
      </c>
    </row>
    <row r="60">
      <c r="A60" s="10" t="inlineStr">
        <is>
          <t>F37</t>
        </is>
      </c>
      <c r="B60" s="5" t="inlineStr">
        <is>
          <t>Calvin #1</t>
        </is>
      </c>
      <c r="C60" s="12" t="inlineStr">
        <is>
          <t>-</t>
        </is>
      </c>
      <c r="D60" s="5" t="inlineStr">
        <is>
          <t>Presión de intensificado no confirmada antes de weld start: no aplica en R10</t>
        </is>
      </c>
      <c r="E60" s="5" t="inlineStr">
        <is>
          <t>Sin acción</t>
        </is>
      </c>
      <c r="F60" s="5" t="inlineStr">
        <is>
          <t>Programador robot</t>
        </is>
      </c>
      <c r="G60" s="5" t="inlineStr">
        <is>
          <t>KRC/R1/Program/Centerline/centerline_weld.src</t>
        </is>
      </c>
      <c r="H60" s="5" t="inlineStr">
        <is>
          <t>• Se reabre si la espera de $IN[479] dipw1_IntensfPresOk de CENTERLINE_WELD se desactiva o se quita.</t>
        </is>
      </c>
      <c r="I60" s="5" t="inlineStr">
        <is>
          <t>F15, F44</t>
        </is>
      </c>
      <c r="J60" s="6" t="inlineStr">
        <is>
          <t>No aplica</t>
        </is>
      </c>
      <c r="K60" s="6" t="inlineStr"/>
      <c r="L60" s="6" t="inlineStr"/>
      <c r="M60" s="6" t="inlineStr"/>
      <c r="N60" s="6" t="inlineStr"/>
      <c r="O60" s="7" t="inlineStr">
        <is>
          <t>Alta (Calvin)</t>
        </is>
      </c>
      <c r="P60" s="7" t="inlineStr">
        <is>
          <t>2026-10-04</t>
        </is>
      </c>
      <c r="Q60" s="7"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Integrado - riesgo</t>
        </is>
      </c>
      <c r="P66" s="7" t="inlineStr">
        <is>
          <t>2026-10-05</t>
        </is>
      </c>
      <c r="Q66" s="7" t="inlineStr">
        <is>
          <t>En la versión integrada GunElectrodeChange se ejecuta al final del stepper. Probar antes de producción.</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0" t="inlineStr">
        <is>
          <t>F45</t>
        </is>
      </c>
      <c r="B68" s="5" t="inlineStr">
        <is>
          <t>Calvin #23</t>
        </is>
      </c>
      <c r="C68" s="9" t="inlineStr">
        <is>
          <t>Bajo</t>
        </is>
      </c>
      <c r="D68" s="5" t="inlineStr">
        <is>
          <t>Rutinas de clamps: grippers 2-4 deshabilitados, solo existe el gripper 1</t>
        </is>
      </c>
      <c r="E68" s="5" t="inlineStr">
        <is>
          <t>Sin acción</t>
        </is>
      </c>
      <c r="F68" s="5" t="inlineStr">
        <is>
          <t>Programador robot</t>
        </is>
      </c>
      <c r="G68" s="5" t="inlineStr">
        <is>
          <t>KRC/R1/Program/Utilities/closeandcheckallclamps.src, KRC/R1/Program/Utilities/openandcheckallclamps.src, KRC/R1/TP/GripperSpotTech/grp_data.dat</t>
        </is>
      </c>
      <c r="H68" s="5" t="inlineStr">
        <is>
          <t>• Las rutinas siguen manejando solo el gripper 1 y su comentario lo dice (verificación de regresión en cada respaldo).
• Se reabre si el EOAT de R10 recibe un gripper 2-4 con función real.</t>
        </is>
      </c>
      <c r="I68" s="5" t="inlineStr"/>
      <c r="J68" s="6" t="inlineStr">
        <is>
          <t>Cerrado - depuración</t>
        </is>
      </c>
      <c r="K68" s="6" t="inlineStr"/>
      <c r="L68" s="6" t="inlineStr"/>
      <c r="M68" s="6" t="inlineStr"/>
      <c r="N68" s="6" t="inlineStr"/>
      <c r="O68" s="7" t="inlineStr">
        <is>
          <t>Alta (Calvin)</t>
        </is>
      </c>
      <c r="P68" s="7" t="inlineStr">
        <is>
          <t>2026-10-04</t>
        </is>
      </c>
      <c r="Q68" s="7"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interlock de drop-off movido después de la aproximación (corregido);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(versión integrada).
• Prueba en celda con la versión integrada: con $IN[75] di075DropOffMachine1 OFF el robot espera antes de moverse hacia el conveyor (mensaje de espera); con $IN[75] ON hace 5 ciclos dejando la pieza en AtDrop3 sin contacto ni marca. Anotar fecha y resultado.
• Respaldo completo con la versión integrada cargada: style1drop1opt1.src/.dat coinciden con el zip entregado (la auditoría lo compara).</t>
        </is>
      </c>
      <c r="I71" s="5" t="inlineStr"/>
      <c r="J71" s="6" t="inlineStr">
        <is>
          <t>Corregido en oficina - probar en celda</t>
        </is>
      </c>
      <c r="K71" s="6" t="inlineStr"/>
      <c r="L71" s="6" t="inlineStr"/>
      <c r="M71" s="6" t="inlineStr"/>
      <c r="N71" s="6" t="inlineStr"/>
      <c r="O71" s="7" t="inlineStr">
        <is>
          <t>Decisión</t>
        </is>
      </c>
      <c r="P71" s="7" t="inlineStr">
        <is>
          <t>2026-10-05</t>
        </is>
      </c>
      <c r="Q71" s="7" t="inlineStr">
        <is>
          <t>Edgar: se conserva el AtDrop3 del programador (la pieza cae mejor en el conveyor; validado con él). Solo el interlock de drop-off regresa a su lugar original.</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Integrado - pendiente decisión</t>
        </is>
      </c>
      <c r="P72" s="7" t="inlineStr">
        <is>
          <t>2026-10-05</t>
        </is>
      </c>
      <c r="Q72" s="7" t="inlineStr">
        <is>
          <t>Activación y ediciones del proveedor integradas tal como estaban en el robot; comentarios ;CHECK: en sps.sub, cell.src y gunelectrodechange. Falta decisión de Gestamp y prueba con el PLC y del cambio de electrodo.</t>
        </is>
      </c>
    </row>
    <row r="73">
      <c r="A73" s="10" t="inlineStr">
        <is>
          <t>C01</t>
        </is>
      </c>
      <c r="B73" s="5" t="inlineStr">
        <is>
          <t>Ethos</t>
        </is>
      </c>
      <c r="C73" s="12" t="inlineStr">
        <is>
          <t>-</t>
        </is>
      </c>
      <c r="D73" s="5" t="inlineStr">
        <is>
          <t>AutomationCore_Bkg deshabilitado: el estatus al PLC no se actualiza</t>
        </is>
      </c>
      <c r="E73" s="5" t="inlineStr">
        <is>
          <t>Decisión Gestamp</t>
        </is>
      </c>
      <c r="F73" s="5" t="inlineStr">
        <is>
          <t>Gestamp controles / Ethos (Edgar)</t>
        </is>
      </c>
      <c r="G73" s="5" t="inlineStr">
        <is>
          <t>KRC/R1/System/sps.sub, KRC/R1/TP/AutomationCore/automationcoreroutines.src</t>
        </is>
      </c>
      <c r="H73" s="5" t="inlineStr">
        <is>
          <t>• Se cierra cuando se cierra F12.</t>
        </is>
      </c>
      <c r="I73" s="5" t="inlineStr">
        <is>
          <t>F12</t>
        </is>
      </c>
      <c r="J73" s="6" t="inlineStr">
        <is>
          <t>Se cierra con otro punto</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C02</t>
        </is>
      </c>
      <c r="B74" s="5" t="inlineStr">
        <is>
          <t>Ethos</t>
        </is>
      </c>
      <c r="C74" s="12" t="inlineStr">
        <is>
          <t>-</t>
        </is>
      </c>
      <c r="D74" s="5" t="inlineStr">
        <is>
          <t>Designación BMW-03-10-R1 en los encabezados; confirmar formato con Gestamp</t>
        </is>
      </c>
      <c r="E74" s="5" t="inlineStr">
        <is>
          <t>Información Gestamp</t>
        </is>
      </c>
      <c r="F74" s="5" t="inlineStr">
        <is>
          <t>Ethos (Edgar) / Gestamp controles</t>
        </is>
      </c>
      <c r="G7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4" s="5" t="inlineStr">
        <is>
          <t>• Confirmación escrita de Gestamp del formato, nombre de línea y códigos de dispositivo.
• Los encabezados del respaldo usan ese formato; los módulos nuevos también.</t>
        </is>
      </c>
      <c r="I74" s="5" t="inlineStr"/>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C03</t>
        </is>
      </c>
      <c r="B75" s="5" t="inlineStr">
        <is>
          <t>Ethos</t>
        </is>
      </c>
      <c r="C75" s="12" t="inlineStr">
        <is>
          <t>-</t>
        </is>
      </c>
      <c r="D75" s="5" t="inlineStr">
        <is>
          <t>Encabezado estándar Gestamp en cada módulo del integrador</t>
        </is>
      </c>
      <c r="E75" s="5" t="inlineStr">
        <is>
          <t>Sin acción</t>
        </is>
      </c>
      <c r="F75" s="5" t="inlineStr">
        <is>
          <t>Programador robot</t>
        </is>
      </c>
      <c r="G75"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5" t="inlineStr">
        <is>
          <t>• Ningún módulo que hoy tiene el bloque '; Gestamp Standards' lo pierde en el respaldo.
• Todo .src nuevo del integrador trae el bloque completo (Gestamp Standards / Line / Robot 03-10-R1 (designación) / Application) y un &amp;COMMENT con 03-10-R1.</t>
        </is>
      </c>
      <c r="I75" s="5" t="inlineStr"/>
      <c r="J75" s="6" t="inlineStr">
        <is>
          <t>Cerrado - depuración</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C04</t>
        </is>
      </c>
      <c r="B76" s="5" t="inlineStr">
        <is>
          <t>Ethos</t>
        </is>
      </c>
      <c r="C76" s="12" t="inlineStr">
        <is>
          <t>-</t>
        </is>
      </c>
      <c r="D76" s="5" t="inlineStr">
        <is>
          <t>Movimientos de pedestal interpolados sobre el dado fijo (external TCP)</t>
        </is>
      </c>
      <c r="E76" s="5" t="inlineStr">
        <is>
          <t>Código + prueba en celda</t>
        </is>
      </c>
      <c r="F76" s="5" t="inlineStr">
        <is>
          <t>Ethos (Edgar) / Programador robot</t>
        </is>
      </c>
      <c r="G76" s="5" t="inlineStr">
        <is>
          <t>KRC/R1/Program/StyleApps/Options/style1app1opt1.src, KRC/R1/Program/StyleApps/Options/style1app1opt2.src, KRC/R1/Program/StyleApps/Options/style1app1opt3.src, KRC/R1/Program/Utilities/RejectGE4.src, KRC/R1/Program/StyleApps/Options/style1app2opt2.src</t>
        </is>
      </c>
      <c r="H76"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6" s="5" t="inlineStr">
        <is>
          <t>C05, F22</t>
        </is>
      </c>
      <c r="J76" s="6" t="inlineStr">
        <is>
          <t>Requiere decisión</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C05</t>
        </is>
      </c>
      <c r="B77" s="5" t="inlineStr">
        <is>
          <t>Ethos</t>
        </is>
      </c>
      <c r="C77" s="12" t="inlineStr">
        <is>
          <t>-</t>
        </is>
      </c>
      <c r="D77" s="5" t="inlineStr">
        <is>
          <t>TCP remoto del pedestal (BASE_DATA[3]) sin medir</t>
        </is>
      </c>
      <c r="E77" s="5" t="inlineStr">
        <is>
          <t>Confirmar en sitio</t>
        </is>
      </c>
      <c r="F77" s="5" t="inlineStr">
        <is>
          <t>Puesta en marcha / Programador robot</t>
        </is>
      </c>
      <c r="G77" s="5" t="inlineStr">
        <is>
          <t>KRC/R1/System/$config.dat, KRC/R1/Program/StyleApps/Options/style1app1opt1.src, KRC/R1/Program/StyleApps/Options/style1app1opt2.src, KRC/R1/Program/StyleApps/Options/style1app1opt3.src, KRC/R1/Program/Utilities/RejectGE4.src, KRC/R1/Program/StyleApps/Options/style1app2opt2.src</t>
        </is>
      </c>
      <c r="H77"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7" s="5" t="inlineStr"/>
      <c r="J77" s="6" t="inlineStr">
        <is>
          <t>Abierto</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C06</t>
        </is>
      </c>
      <c r="B78" s="5" t="inlineStr">
        <is>
          <t>Ethos</t>
        </is>
      </c>
      <c r="C78" s="12" t="inlineStr">
        <is>
          <t>-</t>
        </is>
      </c>
      <c r="D78" s="5" t="inlineStr">
        <is>
          <t>Herramientas y bases con nombre: nombres de otro proyecto</t>
        </is>
      </c>
      <c r="E78" s="5" t="inlineStr">
        <is>
          <t>Código + prueba en celda</t>
        </is>
      </c>
      <c r="F78" s="5" t="inlineStr">
        <is>
          <t>Programador robot</t>
        </is>
      </c>
      <c r="G78" s="5" t="inlineStr">
        <is>
          <t>KRC/R1/System/$config.dat, KRC/R1/TP/BrakeTest/braketeststart.src</t>
        </is>
      </c>
      <c r="H78"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8" s="5" t="inlineStr">
        <is>
          <t>F47</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C07</t>
        </is>
      </c>
      <c r="B79" s="5" t="inlineStr">
        <is>
          <t>Ethos</t>
        </is>
      </c>
      <c r="C79" s="12" t="inlineStr">
        <is>
          <t>-</t>
        </is>
      </c>
      <c r="D79" s="5" t="inlineStr">
        <is>
          <t>Un user frame por utillaje: picks, nut check, reject y drops en WORLD</t>
        </is>
      </c>
      <c r="E79" s="5" t="inlineStr">
        <is>
          <t>Decisión Gestamp</t>
        </is>
      </c>
      <c r="F79" s="5" t="inlineStr">
        <is>
          <t>Gestamp controles / Ethos (Edgar)</t>
        </is>
      </c>
      <c r="G79"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9"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9" s="5" t="inlineStr"/>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C08</t>
        </is>
      </c>
      <c r="B80" s="5" t="inlineStr">
        <is>
          <t>Ethos</t>
        </is>
      </c>
      <c r="C80" s="12" t="inlineStr">
        <is>
          <t>-</t>
        </is>
      </c>
      <c r="D80" s="5" t="inlineStr">
        <is>
          <t>Datos de carga: LOAD_DATA[1] tecleado; sin carga con/sin pieza</t>
        </is>
      </c>
      <c r="E80" s="5" t="inlineStr">
        <is>
          <t>Código + prueba en celda</t>
        </is>
      </c>
      <c r="F80" s="5" t="inlineStr">
        <is>
          <t>Programador robot / Puesta en marcha</t>
        </is>
      </c>
      <c r="G80"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0"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0" s="5" t="inlineStr">
        <is>
          <t>G03, F39</t>
        </is>
      </c>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C09</t>
        </is>
      </c>
      <c r="B81" s="5" t="inlineStr">
        <is>
          <t>Ethos</t>
        </is>
      </c>
      <c r="C81" s="12" t="inlineStr">
        <is>
          <t>-</t>
        </is>
      </c>
      <c r="D81" s="5" t="inlineStr">
        <is>
          <t>Detección de colisión apagada en todo el programa; la reacción es un HALT</t>
        </is>
      </c>
      <c r="E81" s="5" t="inlineStr">
        <is>
          <t>Código + prueba en celda</t>
        </is>
      </c>
      <c r="F81" s="5" t="inlineStr">
        <is>
          <t>Programador robot / Puesta en marcha</t>
        </is>
      </c>
      <c r="G81"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1"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1" s="5" t="inlineStr">
        <is>
          <t>C08, F39</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C10</t>
        </is>
      </c>
      <c r="B82" s="5" t="inlineStr">
        <is>
          <t>Ethos</t>
        </is>
      </c>
      <c r="C82" s="12" t="inlineStr">
        <is>
          <t>-</t>
        </is>
      </c>
      <c r="D82" s="5" t="inlineStr">
        <is>
          <t>Falta el programa de mastering ZERO_G1</t>
        </is>
      </c>
      <c r="E82" s="5" t="inlineStr">
        <is>
          <t>Código + prueba en celda</t>
        </is>
      </c>
      <c r="F82" s="5" t="inlineStr">
        <is>
          <t>Programador robot</t>
        </is>
      </c>
      <c r="G82" s="5" t="inlineStr">
        <is>
          <t>KRC/R1/Program/ZERO_G1.src (nuevo)</t>
        </is>
      </c>
      <c r="H82"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2" s="5" t="inlineStr"/>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C11</t>
        </is>
      </c>
      <c r="B83" s="5" t="inlineStr">
        <is>
          <t>Ethos</t>
        </is>
      </c>
      <c r="C83" s="12" t="inlineStr">
        <is>
          <t>-</t>
        </is>
      </c>
      <c r="D83" s="5" t="inlineStr">
        <is>
          <t>Zonas sin documentar: ninguna zona pedida, falta la forma NA-FM-71-138.1</t>
        </is>
      </c>
      <c r="E83" s="5" t="inlineStr">
        <is>
          <t>Información Gestamp</t>
        </is>
      </c>
      <c r="F83" s="5" t="inlineStr">
        <is>
          <t>Ethos (Edgar) / Gestamp controles</t>
        </is>
      </c>
      <c r="G83" s="5" t="inlineStr">
        <is>
          <t>KRC/R1/Program/Utilities/hometorepair.src, KRC/R1/Program/Utilities/repairtohome.src, KRC/R1/Program/Utilities/hometopounce.src, KRC/R1/Program/Styles/Options/style1opt1.src</t>
        </is>
      </c>
      <c r="H83"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C12</t>
        </is>
      </c>
      <c r="B84" s="5" t="inlineStr">
        <is>
          <t>Ethos</t>
        </is>
      </c>
      <c r="C84" s="12" t="inlineStr">
        <is>
          <t>-</t>
        </is>
      </c>
      <c r="D84" s="5" t="inlineStr">
        <is>
          <t>Pounce común: el ciclo no pasa por pounce y do007RobotAtPounce no se calcula</t>
        </is>
      </c>
      <c r="E84" s="5" t="inlineStr">
        <is>
          <t>Decisión Gestamp</t>
        </is>
      </c>
      <c r="F84" s="5" t="inlineStr">
        <is>
          <t>Gestamp controles / Ethos (Edgar)</t>
        </is>
      </c>
      <c r="G84"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4"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4" s="5" t="inlineStr">
        <is>
          <t>F12</t>
        </is>
      </c>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C13</t>
        </is>
      </c>
      <c r="B85" s="5" t="inlineStr">
        <is>
          <t>Ethos</t>
        </is>
      </c>
      <c r="C85" s="12" t="inlineStr">
        <is>
          <t>-</t>
        </is>
      </c>
      <c r="D85" s="5" t="inlineStr">
        <is>
          <t>Manejo de zonas coherente</t>
        </is>
      </c>
      <c r="E85" s="5" t="inlineStr">
        <is>
          <t>Sin acción</t>
        </is>
      </c>
      <c r="F85" s="5" t="inlineStr">
        <is>
          <t>Programador robot</t>
        </is>
      </c>
      <c r="G85" s="5" t="inlineStr">
        <is>
          <t>KRC/R1/Program/Utilities/hometorepair.src, KRC/R1/Program/Utilities/repairtohome.src, KRC/R1/Program/Utilities/hometopounce.src, KRC/R1/Program/Utilities/pouncetohome.src</t>
        </is>
      </c>
      <c r="H85" s="5" t="inlineStr">
        <is>
          <t>• Se reabre si C11 o C12 agregan zonas: entonces cada zona pedida se libera al salir de ella (no solo por MaintainSystem), con prueba en T1 de las salidas de zona libre.</t>
        </is>
      </c>
      <c r="I85" s="5" t="inlineStr">
        <is>
          <t>C11</t>
        </is>
      </c>
      <c r="J85" s="6" t="inlineStr">
        <is>
          <t>No aplica</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C14</t>
        </is>
      </c>
      <c r="B86" s="5" t="inlineStr">
        <is>
          <t>Ethos</t>
        </is>
      </c>
      <c r="C86" s="12" t="inlineStr">
        <is>
          <t>-</t>
        </is>
      </c>
      <c r="D86" s="5" t="inlineStr">
        <is>
          <t>Brake test: el 'due' no se reporta y el camino usa tool/base de otro robot</t>
        </is>
      </c>
      <c r="E86" s="5" t="inlineStr">
        <is>
          <t>Código + prueba en celda</t>
        </is>
      </c>
      <c r="F86" s="5" t="inlineStr">
        <is>
          <t>Programador robot</t>
        </is>
      </c>
      <c r="G86" s="5" t="inlineStr">
        <is>
          <t>KRC/R1/TP/BrakeTest/braketeststart.src, KRC/R1/TP/BrakeTest/braketestback.src, KRC/R1/cell.src, KRC/R1/System/sps.sub, KRC/R1/TP/AutomationCore/automationcoreroutines.src</t>
        </is>
      </c>
      <c r="H86"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6" s="5" t="inlineStr">
        <is>
          <t>F12, F18, F47</t>
        </is>
      </c>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C15</t>
        </is>
      </c>
      <c r="B87" s="5" t="inlineStr">
        <is>
          <t>Ethos</t>
        </is>
      </c>
      <c r="C87" s="12" t="inlineStr">
        <is>
          <t>-</t>
        </is>
      </c>
      <c r="D87" s="5" t="inlineStr">
        <is>
          <t>Dry cycle seleccionable y sin colgar el robot</t>
        </is>
      </c>
      <c r="E87" s="5" t="inlineStr">
        <is>
          <t>Código + prueba en celda</t>
        </is>
      </c>
      <c r="F87" s="5" t="inlineStr">
        <is>
          <t>Programador robot</t>
        </is>
      </c>
      <c r="G87"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7" s="5" t="inlineStr">
        <is>
          <t>• Se cierra cuando se cierran F04 y F05.</t>
        </is>
      </c>
      <c r="I87" s="5" t="inlineStr">
        <is>
          <t>F04, F05</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C16</t>
        </is>
      </c>
      <c r="B88" s="5" t="inlineStr">
        <is>
          <t>Ethos</t>
        </is>
      </c>
      <c r="C88" s="12" t="inlineStr">
        <is>
          <t>-</t>
        </is>
      </c>
      <c r="D88" s="5" t="inlineStr">
        <is>
          <t>Pieza presente / pieza en gripper</t>
        </is>
      </c>
      <c r="E88" s="5" t="inlineStr">
        <is>
          <t>Código + prueba en celda</t>
        </is>
      </c>
      <c r="F88" s="5" t="inlineStr">
        <is>
          <t>Programador robot</t>
        </is>
      </c>
      <c r="G8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8" s="5" t="inlineStr">
        <is>
          <t>• Se cierra cuando se cierran G09 y F40.
• Se reabre si un cambio quita o salta alguna espera de pieza fuera de dry cycle.</t>
        </is>
      </c>
      <c r="I88" s="5" t="inlineStr">
        <is>
          <t>G09, F40</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C17</t>
        </is>
      </c>
      <c r="B89" s="5" t="inlineStr">
        <is>
          <t>Ethos</t>
        </is>
      </c>
      <c r="C89" s="12" t="inlineStr">
        <is>
          <t>-</t>
        </is>
      </c>
      <c r="D89" s="5" t="inlineStr">
        <is>
          <t>Verificación de tuercas y red rabbit</t>
        </is>
      </c>
      <c r="E89" s="5" t="inlineStr">
        <is>
          <t>Código + prueba en celda</t>
        </is>
      </c>
      <c r="F89" s="5" t="inlineStr">
        <is>
          <t>Programador robot</t>
        </is>
      </c>
      <c r="G89"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9" s="5" t="inlineStr">
        <is>
          <t>• Se cierra cuando se cierran F02, F03 y F19.</t>
        </is>
      </c>
      <c r="I89" s="5" t="inlineStr">
        <is>
          <t>F02, F03, F19</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C18</t>
        </is>
      </c>
      <c r="B90" s="5" t="inlineStr">
        <is>
          <t>Ethos</t>
        </is>
      </c>
      <c r="C90" s="12" t="inlineStr">
        <is>
          <t>-</t>
        </is>
      </c>
      <c r="D90" s="5" t="inlineStr">
        <is>
          <t>Handshakes AutomationCore de pick, application y drop</t>
        </is>
      </c>
      <c r="E90" s="5" t="inlineStr">
        <is>
          <t>Código + prueba en celda</t>
        </is>
      </c>
      <c r="F90" s="5" t="inlineStr">
        <is>
          <t>Programador robot</t>
        </is>
      </c>
      <c r="G90"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0" s="5" t="inlineStr">
        <is>
          <t>• Se cierra cuando se cierran F20, F21 y F46.</t>
        </is>
      </c>
      <c r="I90" s="5" t="inlineStr">
        <is>
          <t>F20, F21, F46</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C19</t>
        </is>
      </c>
      <c r="B91" s="5" t="inlineStr">
        <is>
          <t>Ethos</t>
        </is>
      </c>
      <c r="C91" s="12" t="inlineStr">
        <is>
          <t>-</t>
        </is>
      </c>
      <c r="D91" s="5" t="inlineStr">
        <is>
          <t>Request to enter: doCriticalWZ nunca se escribe; el PLC ve entrada permitida</t>
        </is>
      </c>
      <c r="E91" s="5" t="inlineStr">
        <is>
          <t>Código + prueba en celda</t>
        </is>
      </c>
      <c r="F91" s="5" t="inlineStr">
        <is>
          <t>Programador robot / Seguridad</t>
        </is>
      </c>
      <c r="G91" s="5" t="inlineStr">
        <is>
          <t>KRC/R1/System/sps.sub, KRC/R1/TP/AutomationCore/automationcoreroutines.src, KRC/R1/Program/Centerline/PRELOAD.src, KRC/R1/Program/Centerline/centerline_weld.src</t>
        </is>
      </c>
      <c r="H91"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1" s="5" t="inlineStr">
        <is>
          <t>F12, F11, F35</t>
        </is>
      </c>
      <c r="J91" s="6" t="inlineStr">
        <is>
          <t>Requiere decisión</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C20</t>
        </is>
      </c>
      <c r="B92" s="5" t="inlineStr">
        <is>
          <t>Ethos</t>
        </is>
      </c>
      <c r="C92" s="12" t="inlineStr">
        <is>
          <t>-</t>
        </is>
      </c>
      <c r="D92" s="5" t="inlineStr">
        <is>
          <t>Conteo de soldaduras al final del ciclo: #CHECK apagado y WeldNoRequired distinto de 3</t>
        </is>
      </c>
      <c r="E92" s="5" t="inlineStr">
        <is>
          <t>Código + prueba en celda</t>
        </is>
      </c>
      <c r="F92" s="5" t="inlineStr">
        <is>
          <t>Programador robot</t>
        </is>
      </c>
      <c r="G92" s="5" t="inlineStr">
        <is>
          <t>KRC/R1/Program/Centerline/centerline_weld.src, KRC/R1/TP/AutomationCore/automationcoreroutines.src, KRC/R1/TP/AutomationCore/automationcoredata.dat</t>
        </is>
      </c>
      <c r="H92"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2" s="5" t="inlineStr">
        <is>
          <t>F46, F08, F02, F05</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C21</t>
        </is>
      </c>
      <c r="B93" s="5" t="inlineStr">
        <is>
          <t>Ethos</t>
        </is>
      </c>
      <c r="C93" s="12" t="inlineStr">
        <is>
          <t>-</t>
        </is>
      </c>
      <c r="D93" s="5" t="inlineStr">
        <is>
          <t>Fallas por mensajes AutomationCore: ningún HALT sin mensaje ni WAIT FOR FALSE</t>
        </is>
      </c>
      <c r="E93" s="5" t="inlineStr">
        <is>
          <t>Código + prueba en celda</t>
        </is>
      </c>
      <c r="F93" s="5" t="inlineStr">
        <is>
          <t>Programador robot</t>
        </is>
      </c>
      <c r="G93"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3"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3" s="5" t="inlineStr">
        <is>
          <t>F06, F07, F15</t>
        </is>
      </c>
      <c r="J93" s="6" t="inlineStr">
        <is>
          <t>Abierto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C22</t>
        </is>
      </c>
      <c r="B94" s="5" t="inlineStr">
        <is>
          <t>Ethos</t>
        </is>
      </c>
      <c r="C94" s="12" t="inlineStr">
        <is>
          <t>-</t>
        </is>
      </c>
      <c r="D94" s="5" t="inlineStr">
        <is>
          <t>Grippers por inline forms GripperTech</t>
        </is>
      </c>
      <c r="E94" s="5" t="inlineStr">
        <is>
          <t>Código + prueba en celda</t>
        </is>
      </c>
      <c r="F94" s="5" t="inlineStr">
        <is>
          <t>Programador robot / Puesta en marcha</t>
        </is>
      </c>
      <c r="G9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4"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4" s="5" t="inlineStr">
        <is>
          <t>F31, F33, F19</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C23</t>
        </is>
      </c>
      <c r="B95" s="5" t="inlineStr">
        <is>
          <t>Ethos</t>
        </is>
      </c>
      <c r="C95" s="12" t="inlineStr">
        <is>
          <t>-</t>
        </is>
      </c>
      <c r="D95" s="5" t="inlineStr">
        <is>
          <t>Nombres AutomationCore para la E/S, sin direcciones literales</t>
        </is>
      </c>
      <c r="E95" s="5" t="inlineStr">
        <is>
          <t>Código</t>
        </is>
      </c>
      <c r="F95" s="5" t="inlineStr">
        <is>
          <t>Programador robot</t>
        </is>
      </c>
      <c r="G95" s="5" t="inlineStr">
        <is>
          <t>KRC/R1/Program/Centerline/centerline_weld.src, KRC/R1/Program/Centerline/PRELOAD.src, KRC/R1/Program/Centerline/CENTERLINE_HOME.src, KRC/R1/System/sps.sub, KRC/R1/System/$config.dat, KRC/R1/TP/AutomationCore/automationcoreroutines.dat</t>
        </is>
      </c>
      <c r="H95" s="5" t="inlineStr">
        <is>
          <t>• Se cierra cuando se cierran F17, F29 y F36.</t>
        </is>
      </c>
      <c r="I95" s="5" t="inlineStr">
        <is>
          <t>F17, F29, F36</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C24</t>
        </is>
      </c>
      <c r="B96" s="5" t="inlineStr">
        <is>
          <t>Ethos</t>
        </is>
      </c>
      <c r="C96" s="12" t="inlineStr">
        <is>
          <t>-</t>
        </is>
      </c>
      <c r="D96" s="5" t="inlineStr">
        <is>
          <t>Los comentarios nombran la señal con su dirección</t>
        </is>
      </c>
      <c r="E96" s="5" t="inlineStr">
        <is>
          <t>Sin acción</t>
        </is>
      </c>
      <c r="F96" s="5" t="inlineStr">
        <is>
          <t>Programador robot</t>
        </is>
      </c>
      <c r="G9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5" t="inlineStr">
        <is>
          <t>• Toda acción de E/S o espera nueva o cambiada del respaldo tiene en las líneas de arriba un comentario con dirección y nombre declarado.
• Ningún comentario nuevo o cambiado escribe '$IN/$OUT[n] nombre' con un nombre no declarado en ese índice.</t>
        </is>
      </c>
      <c r="I96" s="5" t="inlineStr"/>
      <c r="J96" s="6" t="inlineStr">
        <is>
          <t>Cerrado - depuración</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C25</t>
        </is>
      </c>
      <c r="B97" s="5" t="inlineStr">
        <is>
          <t>Ethos</t>
        </is>
      </c>
      <c r="C97" s="12" t="inlineStr">
        <is>
          <t>-</t>
        </is>
      </c>
      <c r="D97" s="5" t="inlineStr">
        <is>
          <t>Inline forms consistentes con el código</t>
        </is>
      </c>
      <c r="E97" s="5" t="inlineStr">
        <is>
          <t>Código</t>
        </is>
      </c>
      <c r="F97" s="5" t="inlineStr">
        <is>
          <t>Programador robot</t>
        </is>
      </c>
      <c r="G97"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7" s="5" t="inlineStr">
        <is>
          <t>• Se cierra cuando se cierran F21, F31 y F32.</t>
        </is>
      </c>
      <c r="I97" s="5" t="inlineStr">
        <is>
          <t>F21, F31, F32</t>
        </is>
      </c>
      <c r="J97" s="6" t="inlineStr">
        <is>
          <t>Se cierra con otro punto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C26</t>
        </is>
      </c>
      <c r="B98" s="5" t="inlineStr">
        <is>
          <t>Ethos</t>
        </is>
      </c>
      <c r="C98" s="12" t="inlineStr">
        <is>
          <t>-</t>
        </is>
      </c>
      <c r="D98" s="5" t="inlineStr">
        <is>
          <t>Solo inglés en comentarios, títulos de fold y &amp;COMMENT</t>
        </is>
      </c>
      <c r="E98" s="5" t="inlineStr">
        <is>
          <t>Sin acción</t>
        </is>
      </c>
      <c r="F98" s="5" t="inlineStr">
        <is>
          <t>Programador robot</t>
        </is>
      </c>
      <c r="G98"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8" s="5"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8" s="5" t="inlineStr"/>
      <c r="J98" s="6" t="inlineStr">
        <is>
          <t>Cerrado - depuración</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0" t="inlineStr">
        <is>
          <t>C27</t>
        </is>
      </c>
      <c r="B99" s="5" t="inlineStr">
        <is>
          <t>Ethos</t>
        </is>
      </c>
      <c r="C99" s="12" t="inlineStr">
        <is>
          <t>-</t>
        </is>
      </c>
      <c r="D99" s="5" t="inlineStr">
        <is>
          <t>Proceso controlado por robot no compartido; regla de dos procesos</t>
        </is>
      </c>
      <c r="E99" s="5" t="inlineStr">
        <is>
          <t>Sin acción</t>
        </is>
      </c>
      <c r="F99" s="5" t="inlineStr">
        <is>
          <t>Ethos (Edgar)</t>
        </is>
      </c>
      <c r="G99" s="5" t="inlineStr"/>
      <c r="H99" s="5" t="inlineStr">
        <is>
          <t>• Se reabre solo si R10 pasa de dos procesos o si otro robot empieza a usar el pedestal CenterLine.</t>
        </is>
      </c>
      <c r="I99" s="5" t="inlineStr"/>
      <c r="J99" s="6" t="inlineStr">
        <is>
          <t>No aplica</t>
        </is>
      </c>
      <c r="K99" s="6" t="inlineStr"/>
      <c r="L99" s="6" t="inlineStr"/>
      <c r="M99" s="6" t="inlineStr"/>
      <c r="N99" s="6" t="inlineStr"/>
      <c r="O99" s="7" t="inlineStr">
        <is>
          <t>Alta (Ethos)</t>
        </is>
      </c>
      <c r="P99" s="7" t="inlineStr">
        <is>
          <t>2026-10-04</t>
        </is>
      </c>
      <c r="Q99" s="7" t="inlineStr">
        <is>
          <t>Revisión Ethos del respaldo 658424 (v431_03_10_r1.zip del 2026-10-02).</t>
        </is>
      </c>
    </row>
    <row r="100">
      <c r="A100" s="10" t="inlineStr">
        <is>
          <t>C28</t>
        </is>
      </c>
      <c r="B100" s="5" t="inlineStr">
        <is>
          <t>Ethos</t>
        </is>
      </c>
      <c r="C100" s="12" t="inlineStr">
        <is>
          <t>-</t>
        </is>
      </c>
      <c r="D100" s="5" t="inlineStr">
        <is>
          <t>Ediciones del integrador en archivos del proveedor: listarlas en la entrega</t>
        </is>
      </c>
      <c r="E100" s="5" t="inlineStr">
        <is>
          <t>Procedimiento</t>
        </is>
      </c>
      <c r="F100" s="5" t="inlineStr">
        <is>
          <t>Ethos (Edgar) / Programador robot</t>
        </is>
      </c>
      <c r="G100"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0"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0" s="5" t="inlineStr">
        <is>
          <t>F12, F46, C09, C12, C14, C19, C20</t>
        </is>
      </c>
      <c r="J100" s="6" t="inlineStr">
        <is>
          <t>Abierto</t>
        </is>
      </c>
      <c r="K100" s="6" t="inlineStr"/>
      <c r="L100" s="6" t="inlineStr"/>
      <c r="M100" s="6" t="inlineStr"/>
      <c r="N100" s="6" t="inlineStr"/>
      <c r="O100" s="7" t="inlineStr">
        <is>
          <t>Integrado - ediciones listadas</t>
        </is>
      </c>
      <c r="P100" s="7" t="inlineStr">
        <is>
          <t>2026-10-05</t>
        </is>
      </c>
      <c r="Q100" s="7" t="inlineStr">
        <is>
          <t>Ediciones del proveedor integradas y declaradas en tools/code_changes.json: automationcoreroutines.src/.dat, nutweldroutines.dat.</t>
        </is>
      </c>
    </row>
  </sheetData>
  <autoFilter ref="A1:Q100"/>
  <dataValidations count="1">
    <dataValidation sqref="J2:J100"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3" t="inlineStr">
        <is>
          <t>Resumen de puntos abiertos</t>
        </is>
      </c>
    </row>
    <row r="2">
      <c r="A2" s="14" t="inlineStr">
        <is>
          <t>Generado 2026-10-05 08:19 (hora del centro de México)</t>
        </is>
      </c>
    </row>
    <row r="3">
      <c r="A3" s="15" t="inlineStr">
        <is>
          <t>Estado</t>
        </is>
      </c>
      <c r="B3" s="15" t="inlineStr">
        <is>
          <t>Puntos</t>
        </is>
      </c>
    </row>
    <row r="4">
      <c r="A4" s="16" t="inlineStr">
        <is>
          <t>Abierto</t>
        </is>
      </c>
      <c r="B4" s="16">
        <f>COUNTIF('Puntos abiertos'!$J$2:$J$100,A4)</f>
        <v/>
      </c>
    </row>
    <row r="5">
      <c r="A5" s="16" t="inlineStr">
        <is>
          <t>Requiere decisión</t>
        </is>
      </c>
      <c r="B5" s="16">
        <f>COUNTIF('Puntos abiertos'!$J$2:$J$100,A5)</f>
        <v/>
      </c>
    </row>
    <row r="6">
      <c r="A6" s="16" t="inlineStr">
        <is>
          <t>Corregido en oficina - probar en celda</t>
        </is>
      </c>
      <c r="B6" s="16">
        <f>COUNTIF('Puntos abiertos'!$J$2:$J$100,A6)</f>
        <v/>
      </c>
    </row>
    <row r="7">
      <c r="A7" s="16" t="inlineStr">
        <is>
          <t>En proceso</t>
        </is>
      </c>
      <c r="B7" s="16">
        <f>COUNTIF('Puntos abiertos'!$J$2:$J$100,A7)</f>
        <v/>
      </c>
    </row>
    <row r="8">
      <c r="A8" s="16" t="inlineStr">
        <is>
          <t>Corregido - por auditar</t>
        </is>
      </c>
      <c r="B8" s="16">
        <f>COUNTIF('Puntos abiertos'!$J$2:$J$100,A8)</f>
        <v/>
      </c>
    </row>
    <row r="9">
      <c r="A9" s="16" t="inlineStr">
        <is>
          <t>Cerrado - auditado</t>
        </is>
      </c>
      <c r="B9" s="16">
        <f>COUNTIF('Puntos abiertos'!$J$2:$J$100,A9)</f>
        <v/>
      </c>
    </row>
    <row r="10">
      <c r="A10" s="16" t="inlineStr">
        <is>
          <t>Reabierto</t>
        </is>
      </c>
      <c r="B10" s="16">
        <f>COUNTIF('Puntos abiertos'!$J$2:$J$100,A10)</f>
        <v/>
      </c>
    </row>
    <row r="11">
      <c r="A11" s="16" t="inlineStr">
        <is>
          <t>Aceptado sin cambio</t>
        </is>
      </c>
      <c r="B11" s="16">
        <f>COUNTIF('Puntos abiertos'!$J$2:$J$100,A11)</f>
        <v/>
      </c>
    </row>
    <row r="12">
      <c r="A12" s="16" t="inlineStr">
        <is>
          <t>Cerrado - depuración</t>
        </is>
      </c>
      <c r="B12" s="16">
        <f>COUNTIF('Puntos abiertos'!$J$2:$J$100,A12)</f>
        <v/>
      </c>
    </row>
    <row r="13">
      <c r="A13" s="16" t="inlineStr">
        <is>
          <t>No aplica</t>
        </is>
      </c>
      <c r="B13" s="16">
        <f>COUNTIF('Puntos abiertos'!$J$2:$J$100,A13)</f>
        <v/>
      </c>
    </row>
    <row r="14">
      <c r="A14" s="16" t="inlineStr">
        <is>
          <t>Sin acción - documentado</t>
        </is>
      </c>
      <c r="B14" s="16">
        <f>COUNTIF('Puntos abiertos'!$J$2:$J$100,A14)</f>
        <v/>
      </c>
    </row>
    <row r="15">
      <c r="A15" s="16" t="inlineStr">
        <is>
          <t>Se cierra con otro punto</t>
        </is>
      </c>
      <c r="B15" s="16">
        <f>COUNTIF('Puntos abiertos'!$J$2:$J$100,A15)</f>
        <v/>
      </c>
    </row>
    <row r="16">
      <c r="A16" s="17" t="inlineStr">
        <is>
          <t>Total</t>
        </is>
      </c>
      <c r="B16" s="17">
        <f>SUM(B4:B15)</f>
        <v/>
      </c>
    </row>
    <row r="18">
      <c r="A18" s="15" t="inlineStr">
        <is>
          <t>Severidad</t>
        </is>
      </c>
      <c r="B18" s="15" t="inlineStr">
        <is>
          <t>Total</t>
        </is>
      </c>
      <c r="C18" s="15" t="inlineStr">
        <is>
          <t>Pendientes</t>
        </is>
      </c>
    </row>
    <row r="19">
      <c r="A19" s="16" t="inlineStr">
        <is>
          <t>Crítico</t>
        </is>
      </c>
      <c r="B19" s="16">
        <f>COUNTIF('Puntos abiertos'!$C$2:$C$100,A19)</f>
        <v/>
      </c>
      <c r="C19" s="16">
        <f>COUNTIFS('Puntos abiertos'!$C$2:$C$100,A19,'Puntos abiertos'!$J$2:$J$100,"Abierto")+COUNTIFS('Puntos abiertos'!$C$2:$C$100,A19,'Puntos abiertos'!$J$2:$J$100,"Requiere decisión")+COUNTIFS('Puntos abiertos'!$C$2:$C$100,A19,'Puntos abiertos'!$J$2:$J$100,"Corregido en oficina - probar en celda")+COUNTIFS('Puntos abiertos'!$C$2:$C$100,A19,'Puntos abiertos'!$J$2:$J$100,"En proceso")+COUNTIFS('Puntos abiertos'!$C$2:$C$100,A19,'Puntos abiertos'!$J$2:$J$100,"Corregido - por auditar")+COUNTIFS('Puntos abiertos'!$C$2:$C$100,A19,'Puntos abiertos'!$J$2:$J$100,"Reabierto")</f>
        <v/>
      </c>
    </row>
    <row r="20">
      <c r="A20" s="16" t="inlineStr">
        <is>
          <t>Alto</t>
        </is>
      </c>
      <c r="B20" s="16">
        <f>COUNTIF('Puntos abiertos'!$C$2:$C$100,A20)</f>
        <v/>
      </c>
      <c r="C20" s="16">
        <f>COUNTIFS('Puntos abiertos'!$C$2:$C$100,A20,'Puntos abiertos'!$J$2:$J$100,"Abierto")+COUNTIFS('Puntos abiertos'!$C$2:$C$100,A20,'Puntos abiertos'!$J$2:$J$100,"Requiere decisión")+COUNTIFS('Puntos abiertos'!$C$2:$C$100,A20,'Puntos abiertos'!$J$2:$J$100,"Corregido en oficina - probar en celda")+COUNTIFS('Puntos abiertos'!$C$2:$C$100,A20,'Puntos abiertos'!$J$2:$J$100,"En proceso")+COUNTIFS('Puntos abiertos'!$C$2:$C$100,A20,'Puntos abiertos'!$J$2:$J$100,"Corregido - por auditar")+COUNTIFS('Puntos abiertos'!$C$2:$C$100,A20,'Puntos abiertos'!$J$2:$J$100,"Reabierto")</f>
        <v/>
      </c>
    </row>
    <row r="21">
      <c r="A21" s="16" t="inlineStr">
        <is>
          <t>Medio</t>
        </is>
      </c>
      <c r="B21" s="16">
        <f>COUNTIF('Puntos abiertos'!$C$2:$C$100,A21)</f>
        <v/>
      </c>
      <c r="C21" s="16">
        <f>COUNTIFS('Puntos abiertos'!$C$2:$C$100,A21,'Puntos abiertos'!$J$2:$J$100,"Abierto")+COUNTIFS('Puntos abiertos'!$C$2:$C$100,A21,'Puntos abiertos'!$J$2:$J$100,"Requiere decisión")+COUNTIFS('Puntos abiertos'!$C$2:$C$100,A21,'Puntos abiertos'!$J$2:$J$100,"Corregido en oficina - probar en celda")+COUNTIFS('Puntos abiertos'!$C$2:$C$100,A21,'Puntos abiertos'!$J$2:$J$100,"En proceso")+COUNTIFS('Puntos abiertos'!$C$2:$C$100,A21,'Puntos abiertos'!$J$2:$J$100,"Corregido - por auditar")+COUNTIFS('Puntos abiertos'!$C$2:$C$100,A21,'Puntos abiertos'!$J$2:$J$100,"Reabierto")</f>
        <v/>
      </c>
    </row>
    <row r="22">
      <c r="A22" s="16" t="inlineStr">
        <is>
          <t>Bajo</t>
        </is>
      </c>
      <c r="B22" s="16">
        <f>COUNTIF('Puntos abiertos'!$C$2:$C$100,A22)</f>
        <v/>
      </c>
      <c r="C22" s="16">
        <f>COUNTIFS('Puntos abiertos'!$C$2:$C$100,A22,'Puntos abiertos'!$J$2:$J$100,"Abierto")+COUNTIFS('Puntos abiertos'!$C$2:$C$100,A22,'Puntos abiertos'!$J$2:$J$100,"Requiere decisión")+COUNTIFS('Puntos abiertos'!$C$2:$C$100,A22,'Puntos abiertos'!$J$2:$J$100,"Corregido en oficina - probar en celda")+COUNTIFS('Puntos abiertos'!$C$2:$C$100,A22,'Puntos abiertos'!$J$2:$J$100,"En proceso")+COUNTIFS('Puntos abiertos'!$C$2:$C$100,A22,'Puntos abiertos'!$J$2:$J$100,"Corregido - por auditar")+COUNTIFS('Puntos abiertos'!$C$2:$C$100,A22,'Puntos abiertos'!$J$2:$J$100,"Reabierto")</f>
        <v/>
      </c>
    </row>
    <row r="24">
      <c r="A24" s="15" t="inlineStr">
        <is>
          <t>Origen</t>
        </is>
      </c>
      <c r="B24" s="15" t="inlineStr">
        <is>
          <t>Total</t>
        </is>
      </c>
      <c r="C24" s="15" t="inlineStr">
        <is>
          <t>Pendientes</t>
        </is>
      </c>
    </row>
    <row r="25">
      <c r="A25" s="16" t="inlineStr">
        <is>
          <t>Gestamp</t>
        </is>
      </c>
      <c r="B25" s="16">
        <f>COUNTIF('Puntos abiertos'!$B$2:$B$100,"Gestamp*")</f>
        <v/>
      </c>
      <c r="C25" s="16">
        <f>COUNTIFS('Puntos abiertos'!$B$2:$B$100,"Gestamp*",'Puntos abiertos'!$J$2:$J$100,"Abierto")+COUNTIFS('Puntos abiertos'!$B$2:$B$100,"Gestamp*",'Puntos abiertos'!$J$2:$J$100,"Requiere decisión")+COUNTIFS('Puntos abiertos'!$B$2:$B$100,"Gestamp*",'Puntos abiertos'!$J$2:$J$100,"Corregido en oficina - probar en celda")+COUNTIFS('Puntos abiertos'!$B$2:$B$100,"Gestamp*",'Puntos abiertos'!$J$2:$J$100,"En proceso")+COUNTIFS('Puntos abiertos'!$B$2:$B$100,"Gestamp*",'Puntos abiertos'!$J$2:$J$100,"Corregido - por auditar")+COUNTIFS('Puntos abiertos'!$B$2:$B$100,"Gestamp*",'Puntos abiertos'!$J$2:$J$100,"Reabierto")</f>
        <v/>
      </c>
    </row>
    <row r="26">
      <c r="A26" s="16" t="inlineStr">
        <is>
          <t>Ethos</t>
        </is>
      </c>
      <c r="B26" s="16">
        <f>COUNTIF('Puntos abiertos'!$B$2:$B$100,"Ethos")</f>
        <v/>
      </c>
      <c r="C26" s="16">
        <f>COUNTIFS('Puntos abiertos'!$B$2:$B$100,"Ethos",'Puntos abiertos'!$J$2:$J$100,"Abierto")+COUNTIFS('Puntos abiertos'!$B$2:$B$100,"Ethos",'Puntos abiertos'!$J$2:$J$100,"Requiere decisión")+COUNTIFS('Puntos abiertos'!$B$2:$B$100,"Ethos",'Puntos abiertos'!$J$2:$J$100,"Corregido en oficina - probar en celda")+COUNTIFS('Puntos abiertos'!$B$2:$B$100,"Ethos",'Puntos abiertos'!$J$2:$J$100,"En proceso")+COUNTIFS('Puntos abiertos'!$B$2:$B$100,"Ethos",'Puntos abiertos'!$J$2:$J$100,"Corregido - por auditar")+COUNTIFS('Puntos abiertos'!$B$2:$B$100,"Ethos",'Puntos abiertos'!$J$2:$J$100,"Reabierto")</f>
        <v/>
      </c>
    </row>
    <row r="27">
      <c r="A27" s="16" t="inlineStr">
        <is>
          <t>Calvin (Ethos)</t>
        </is>
      </c>
      <c r="B27" s="16">
        <f>COUNTIF('Puntos abiertos'!$B$2:$B$100,"Calvin*")</f>
        <v/>
      </c>
      <c r="C27" s="16">
        <f>COUNTIFS('Puntos abiertos'!$B$2:$B$100,"Calvin*",'Puntos abiertos'!$J$2:$J$100,"Abierto")+COUNTIFS('Puntos abiertos'!$B$2:$B$100,"Calvin*",'Puntos abiertos'!$J$2:$J$100,"Requiere decisión")+COUNTIFS('Puntos abiertos'!$B$2:$B$100,"Calvin*",'Puntos abiertos'!$J$2:$J$100,"Corregido en oficina - probar en celda")+COUNTIFS('Puntos abiertos'!$B$2:$B$100,"Calvin*",'Puntos abiertos'!$J$2:$J$100,"En proceso")+COUNTIFS('Puntos abiertos'!$B$2:$B$100,"Calvin*",'Puntos abiertos'!$J$2:$J$100,"Corregido - por auditar")+COUNTIFS('Puntos abiertos'!$B$2:$B$100,"Calvin*",'Puntos abiertos'!$J$2:$J$100,"Reabierto")</f>
        <v/>
      </c>
    </row>
    <row r="29">
      <c r="A29" s="14"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8" t="inlineStr">
        <is>
          <t>Cómo usar esta lista</t>
        </is>
      </c>
    </row>
    <row r="2">
      <c r="A2" s="19" t="inlineStr">
        <is>
          <t>1. Trabaja los puntos en el programa del robot. Respeta docs/CONVENTIONS.md del repositorio: comentarios en inglés con la señal nombrada ($OUT[n] nombre), sin código comentado, sin reabrir inline forms que tengan líneas escritas a mano.</t>
        </is>
      </c>
    </row>
    <row r="3">
      <c r="A3" s="19" t="inlineStr">
        <is>
          <t>2. En la hoja "Puntos abiertos" llena SOLO las columnas amarillas de los puntos que trabajaste: Estado, Qué cambió el programador, Módulos modificados, Evidencia / prueba en celda, Fecha programador.</t>
        </is>
      </c>
    </row>
    <row r="4">
      <c r="A4" s="19" t="inlineStr">
        <is>
          <t>3. Estado: pon "En proceso" si empezaste y no está listo, o "Corregido - por auditar" si el cambio está hecho y probado (también los "Corregido en oficina" después de probarlos en celda). No pongas Cerrado: lo pone la auditoría.</t>
        </is>
      </c>
    </row>
    <row r="5">
      <c r="A5" s="19" t="inlineStr">
        <is>
          <t>4. La evidencia es lo que pide el criterio de cierre: prueba en celda con fecha y resultado, valor leído en el smartPAD, documento de Gestamp. Sin evidencia el punto se reabre.</t>
        </is>
      </c>
    </row>
    <row r="6">
      <c r="A6" s="19"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19" t="inlineStr"/>
    </row>
    <row r="8">
      <c r="A8" s="18" t="inlineStr">
        <is>
          <t>Ejemplo de una fila llenada (formato esperado)</t>
        </is>
      </c>
    </row>
    <row r="9">
      <c r="A9" s="19" t="inlineStr">
        <is>
          <t>Estado: Corregido - por auditar</t>
        </is>
      </c>
    </row>
    <row r="10">
      <c r="A10" s="19" t="inlineStr">
        <is>
          <t>Qué cambió el programador: style1app1opt1..3: espera supervisada antes del LIN de aproximación (gun open LPT &gt; 120000, $IN[466], $IN[482], NOT $IN[470]) con $TIMER[16] 3 s, mensaje y do004ProcessFault. PRELOAD paso 20 ahora espera $IN[482].</t>
        </is>
      </c>
    </row>
    <row r="11">
      <c r="A11" s="19" t="inlineStr">
        <is>
          <t>Módulos modificados: style1app1opt1.src ... style1app1opt3.src, PRELOAD.src</t>
        </is>
      </c>
    </row>
    <row r="12">
      <c r="A12" s="19" t="inlineStr">
        <is>
          <t>Evidencia / prueba en celda: 2026-10-06, T1 50 %: clamp cerrado a mano, el robot se detuvo antes de P22 con mensaje; con todo abierto el ciclo siguió normal. 3 ciclos en automático OK.</t>
        </is>
      </c>
    </row>
    <row r="13">
      <c r="A13" s="19" t="inlineStr">
        <is>
          <t>Fecha programador: 2026-10-06</t>
        </is>
      </c>
    </row>
    <row r="14">
      <c r="A14" s="19" t="inlineStr"/>
    </row>
    <row r="15">
      <c r="A15" s="18" t="inlineStr">
        <is>
          <t>Puntos de Gestamp</t>
        </is>
      </c>
    </row>
    <row r="16">
      <c r="A16" s="19"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F47 son solo del R10). La lista de Calvin se verificó punto por punto: los puntos que él también señaló dicen "Calvin #n" en Origen. Esta lista es la única que se usa.</t>
        </is>
      </c>
    </row>
    <row r="17">
      <c r="A17" s="19"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19" t="inlineStr"/>
    </row>
    <row r="19">
      <c r="A19" s="18" t="inlineStr">
        <is>
          <t>Estados</t>
        </is>
      </c>
    </row>
    <row r="20">
      <c r="A20" s="16" t="inlineStr">
        <is>
          <t>Abierto: Pendiente de trabajar.</t>
        </is>
      </c>
    </row>
    <row r="21">
      <c r="A21" s="16" t="inlineStr">
        <is>
          <t>Requiere decisión: Falta información o decisión (Gestamp, seguridad, Ethos) antes de programar.</t>
        </is>
      </c>
    </row>
    <row r="22">
      <c r="A22" s="16" t="inlineStr">
        <is>
          <t>Corregido en oficina - probar en celda: Ethos lo cambió en la versión entregada; falta la prueba en celda del programador.</t>
        </is>
      </c>
    </row>
    <row r="23">
      <c r="A23" s="16" t="inlineStr">
        <is>
          <t>En proceso: Lo pone el programador: trabajo empezado.</t>
        </is>
      </c>
    </row>
    <row r="24">
      <c r="A24" s="16" t="inlineStr">
        <is>
          <t>Corregido - por auditar: Lo pone el programador: cambio hecho y probado, pide auditoría.</t>
        </is>
      </c>
    </row>
    <row r="25">
      <c r="A25" s="16" t="inlineStr">
        <is>
          <t>Cerrado - auditado: Lo pone la auditoría: cumple el criterio de cierre en el respaldo.</t>
        </is>
      </c>
    </row>
    <row r="26">
      <c r="A26" s="16" t="inlineStr">
        <is>
          <t>Reabierto: Lo pone la auditoría: no se encontró el cambio o no cumple (ver Nota auditoría).</t>
        </is>
      </c>
    </row>
    <row r="27">
      <c r="A27" s="16" t="inlineStr">
        <is>
          <t>Aceptado sin cambio: Ethos / Gestamp decidieron no corregir; queda la razón.</t>
        </is>
      </c>
    </row>
    <row r="28">
      <c r="A28" s="16" t="inlineStr">
        <is>
          <t>Cerrado - depuración: Resuelto por la depuración del 2026-10-03.</t>
        </is>
      </c>
    </row>
    <row r="29">
      <c r="A29" s="16" t="inlineStr">
        <is>
          <t>No aplica: El punto ya cumple.</t>
        </is>
      </c>
    </row>
    <row r="30">
      <c r="A30" s="16" t="inlineStr">
        <is>
          <t>Sin acción - documentado: Se deja como está; la nota dice cuándo se reabriría.</t>
        </is>
      </c>
    </row>
    <row r="31">
      <c r="A31" s="16" t="inlineStr">
        <is>
          <t>Se cierra con otro punto: Duplica otro punto (columna Depende de); se cierra con él.</t>
        </is>
      </c>
    </row>
    <row r="33">
      <c r="A33" s="20"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1" t="inlineStr">
        <is>
          <t>Fecha auditoría</t>
        </is>
      </c>
      <c r="B1" s="21" t="inlineStr">
        <is>
          <t>Respaldo</t>
        </is>
      </c>
      <c r="C1" s="21" t="inlineStr">
        <is>
          <t>Cerrados</t>
        </is>
      </c>
      <c r="D1" s="21" t="inlineStr">
        <is>
          <t>Reabiertos</t>
        </is>
      </c>
      <c r="E1" s="21" t="inlineStr">
        <is>
          <t>Cambios de código</t>
        </is>
      </c>
      <c r="F1" s="21" t="inlineStr">
        <is>
          <t>Notas</t>
        </is>
      </c>
    </row>
    <row r="2">
      <c r="A2" s="16" t="inlineStr">
        <is>
          <t>2026-10-04</t>
        </is>
      </c>
      <c r="B2" s="16" t="inlineStr">
        <is>
          <t>658424_R10 (versión de oficina, tools/build_archive.py)</t>
        </is>
      </c>
      <c r="C2" s="16" t="n">
        <v>0</v>
      </c>
      <c r="D2" s="16" t="n">
        <v>0</v>
      </c>
      <c r="E2" s="16" t="inlineStr">
        <is>
          <t>12 módulos con cambios de lógica, 8 equivalentes tras renombres, 1 borrado (centerline_loop.src), 2 movidos (Styles/optiones → Styles/Options), 104 idénticos (tools/check_equivalence.py contra la base fb8a4c8)</t>
        </is>
      </c>
      <c r="F2" s="16"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16" t="inlineStr">
        <is>
          <t>2026-10-05</t>
        </is>
      </c>
      <c r="B3" s="16" t="inlineStr">
        <is>
          <t>bmw_03_10_r1.zip (am.ini 2026-10-05 09:43, robot BMW_03_10_R1, serie 658424)</t>
        </is>
      </c>
      <c r="C3" s="16" t="n">
        <v>0</v>
      </c>
      <c r="D3" s="16" t="n">
        <v>0</v>
      </c>
      <c r="E3" s="16" t="inlineStr">
        <is>
          <t>62 archivos cambiados, 7 agregados (GUN_OPEN_CHECK, proyecto WorkVisual BMW-03-10R1_v8), 39 KRL con cambios de código (-230/+1323 líneas) contra el estado auditado (b5a8803)</t>
        </is>
      </c>
      <c r="F3" s="16"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16" t="inlineStr">
        <is>
          <t>2026-10-05</t>
        </is>
      </c>
      <c r="B4" s="16" t="inlineStr">
        <is>
          <t>658424_R10_2026-10-05_0819.zip (versión integrada, armada sobre bmw_03_10_r1.zip)</t>
        </is>
      </c>
      <c r="C4" s="16" t="n">
        <v>0</v>
      </c>
      <c r="D4" s="16" t="n">
        <v>0</v>
      </c>
      <c r="E4" s="16" t="inlineStr">
        <is>
          <t>Contra la depuración fb8a4c8: 26 KRL con cambios de código, 2 módulos nuevos (GUN_OPEN_CHECK.src/.dat), 22 archivos fuera; contra el repositorio: idéntico (308 entradas). audit_backup: 0 FAIL, 0 WARN.</t>
        </is>
      </c>
      <c r="F4" s="16"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2026-10-05T14:19:21Z</dcterms:created>
  <dcterms:modified xsi:type="dcterms:W3CDTF">2026-10-05T14:19:21Z</dcterms:modified>
</cp:coreProperties>
</file>