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abiertos'!$A$1:$Q$29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color rgb="009AA5B1"/>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C6EFCE"/>
      </patternFill>
    </fill>
    <fill>
      <patternFill patternType="solid">
        <fgColor rgb="00DCEBFA"/>
      </patternFill>
    </fill>
    <fill>
      <patternFill patternType="solid">
        <fgColor rgb="00FFF4C2"/>
      </patternFill>
    </fill>
    <fill>
      <patternFill patternType="solid">
        <fgColor rgb="00E4E7EB"/>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6" fillId="3"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0" fontId="9" fillId="0" borderId="0" pivotButton="0" quotePrefix="0" xfId="0"/>
    <xf numFmtId="0" fontId="10" fillId="6" borderId="0" pivotButton="0" quotePrefix="0" xfId="0"/>
    <xf numFmtId="0" fontId="11" fillId="0" borderId="0" pivotButton="0" quotePrefix="0" xfId="0"/>
    <xf numFmtId="0" fontId="10" fillId="0" borderId="0" pivotButton="0" quotePrefix="0" xfId="0"/>
    <xf numFmtId="0" fontId="12" fillId="0" borderId="0" applyAlignment="1" pivotButton="0" quotePrefix="0" xfId="0">
      <alignment vertical="top" wrapText="1"/>
    </xf>
    <xf numFmtId="0" fontId="3" fillId="0" borderId="0" applyAlignment="1" pivotButton="0" quotePrefix="0" xfId="0">
      <alignment vertical="top" wrapText="1"/>
    </xf>
    <xf numFmtId="0" fontId="13"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29"/>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12"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Depende de</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3" t="inlineStr">
        <is>
          <t>Configuración en celda</t>
        </is>
      </c>
      <c r="F2" s="3" t="inlineStr">
        <is>
          <t>Programador robot (en celda) / Gestamp confirma el formato</t>
        </is>
      </c>
      <c r="G2" s="3" t="inlineStr">
        <is>
          <t>am.ini, C/KRC/Roboter/Rdc/RobotData.xml, $ROBNAME (smartHMI)</t>
        </is>
      </c>
      <c r="H2" s="3"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3" t="inlineStr">
        <is>
          <t>C02</t>
        </is>
      </c>
      <c r="J2" s="3" t="inlineStr">
        <is>
          <t>Aceptado sin cambio</t>
        </is>
      </c>
      <c r="K2" s="3" t="inlineStr"/>
      <c r="L2" s="3" t="inlineStr"/>
      <c r="M2" s="3" t="inlineStr"/>
      <c r="N2" s="3" t="inlineStr"/>
      <c r="O2" s="3" t="inlineStr">
        <is>
          <t>Decisión</t>
        </is>
      </c>
      <c r="P2" s="3" t="inlineStr">
        <is>
          <t>2026-10-13</t>
        </is>
      </c>
      <c r="Q2" s="3" t="inlineStr">
        <is>
          <t>Edgar lo cierra el 2026-10-13. El robot sigue llamándose BMW_03_10_R1 (am.ini del respaldo del 13/10 y captura del smartHMI del 12/10).</t>
        </is>
      </c>
    </row>
    <row r="3">
      <c r="A3" s="2" t="inlineStr">
        <is>
          <t>G02</t>
        </is>
      </c>
      <c r="B3" s="3" t="inlineStr">
        <is>
          <t>Gestamp #2</t>
        </is>
      </c>
      <c r="C3" s="5" t="inlineStr">
        <is>
          <t>Alto</t>
        </is>
      </c>
      <c r="D3" s="3" t="inlineStr">
        <is>
          <t>Herramienta de seguridad igual al TCP de la herramienta 1
Gestamp: "Safety Tool is not equal to Default TCP"</t>
        </is>
      </c>
      <c r="E3" s="3" t="inlineStr">
        <is>
          <t>Configuración de seguridad</t>
        </is>
      </c>
      <c r="F3" s="3" t="inlineStr">
        <is>
          <t>Programador robot / Seguridad</t>
        </is>
      </c>
      <c r="G3" s="3" t="inlineStr">
        <is>
          <t>C/KRC/Roboter/Config/User/Common/SafetyConfigData.xml, $config.dat (TOOL_DATA[1])</t>
        </is>
      </c>
      <c r="H3" s="3" t="inlineStr">
        <is>
          <t>• Captura de la herramienta de seguridad 1 con el TCP igual a TOOL_DATA[1] del respaldo.
• Checksum nuevo anotado y checklist de aceptación firmado por quien tenga la autorización.</t>
        </is>
      </c>
      <c r="I3" s="3" t="inlineStr">
        <is>
          <t>F42</t>
        </is>
      </c>
      <c r="J3" s="3" t="inlineStr">
        <is>
          <t>Cerrado - auditado</t>
        </is>
      </c>
      <c r="K3" s="3" t="inlineStr"/>
      <c r="L3" s="3" t="inlineStr"/>
      <c r="M3" s="3" t="inlineStr"/>
      <c r="N3" s="3" t="inlineStr"/>
      <c r="O3" s="3" t="inlineStr">
        <is>
          <t>Cerrado - auditado</t>
        </is>
      </c>
      <c r="P3" s="3" t="inlineStr">
        <is>
          <t>2026-10-13</t>
        </is>
      </c>
      <c r="Q3" s="3" t="inlineStr">
        <is>
          <t>Captura del smartHMI del 2026-10-12 09:03 (Configuración de seguridad → Herramientas): herramienta de seguridad 1 "EOAT 1 GE4-001" activada con TCP X 0, Y 0, Z 380.8 mm; captura de Calibración → Datos de carga de TOOL 1: X 0, Y 0, Z 380.790, A -90, B -90, C -90, igual a TOOL_DATA[1] ($config.dat:234). SafetyConfigData.xml: cambio de parámetros de la herramienta "EOAT 1 GE4-001" y configuración guardada el 2026-10-10 11:12, versión 54, WorksheetCrc 2258919054 (sin cambios en los respaldos del 11 y 13/10). El checklist de aceptación de SafeOperation firmado no se presentó: queda para el ítem 40 del workbook de buy-off.</t>
        </is>
      </c>
    </row>
    <row r="4">
      <c r="A4" s="6" t="inlineStr">
        <is>
          <t>G03</t>
        </is>
      </c>
      <c r="B4" s="7" t="inlineStr">
        <is>
          <t>Gestamp #3</t>
        </is>
      </c>
      <c r="C4" s="8" t="inlineStr">
        <is>
          <t>Alto</t>
        </is>
      </c>
      <c r="D4" s="7" t="inlineStr">
        <is>
          <t>Determinar los datos de carga de la herramienta 1
Gestamp: "Tool 1 is used without Load data determination"</t>
        </is>
      </c>
      <c r="E4" s="9" t="inlineStr">
        <is>
          <t>Prueba en celda</t>
        </is>
      </c>
      <c r="F4" s="9" t="inlineStr">
        <is>
          <t>Programador robot / Puesta en marcha</t>
        </is>
      </c>
      <c r="G4" s="9" t="inlineStr">
        <is>
          <t>$config.dat (LOAD_DATA[1]), KRC/STEU/Mada/$custom.dat ($LDC_CONFIG[1])</t>
        </is>
      </c>
      <c r="H4" s="9" t="inlineStr">
        <is>
          <t>• LOAD_DATA[1] en $config.dat ya no es {M 210, CM {X 270, Y 0, Z 240}, J {105, 105, 105}}: trae masa, centro de masa e inercias determinados.
• Protocolo de Load Data Determination (captura o archivo) con fecha.</t>
        </is>
      </c>
      <c r="I4" s="9" t="inlineStr">
        <is>
          <t>C08, F39, C09</t>
        </is>
      </c>
      <c r="J4" s="10" t="inlineStr">
        <is>
          <t>En proceso</t>
        </is>
      </c>
      <c r="K4" s="10" t="inlineStr"/>
      <c r="L4" s="10" t="inlineStr"/>
      <c r="M4" s="10" t="inlineStr"/>
      <c r="N4" s="10" t="inlineStr"/>
      <c r="O4" s="11" t="inlineStr">
        <is>
          <t>Avance del programador</t>
        </is>
      </c>
      <c r="P4" s="11" t="inlineStr">
        <is>
          <t>2026-10-11</t>
        </is>
      </c>
      <c r="Q4" s="11"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2" t="inlineStr">
        <is>
          <t>G04</t>
        </is>
      </c>
      <c r="B5" s="3" t="inlineStr">
        <is>
          <t>Gestamp #4</t>
        </is>
      </c>
      <c r="C5" s="12" t="inlineStr">
        <is>
          <t>Bajo</t>
        </is>
      </c>
      <c r="D5" s="3" t="inlineStr">
        <is>
          <t>Programa RedRabbit bloqueado: borrado
Gestamp: "Program Red Rabbit() is blocked, might be an unnecessary copy"</t>
        </is>
      </c>
      <c r="E5" s="3" t="inlineStr">
        <is>
          <t>Código</t>
        </is>
      </c>
      <c r="F5" s="3" t="inlineStr">
        <is>
          <t>Programador robot (prueba en celda)</t>
        </is>
      </c>
      <c r="G5" s="3" t="inlineStr">
        <is>
          <t>KRC/R1/Program/Utilities/redrabbit.src, KRC/R1/Program/Utilities/RedRabbit.dat</t>
        </is>
      </c>
      <c r="H5" s="3"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3" t="inlineStr">
        <is>
          <t>G05</t>
        </is>
      </c>
      <c r="J5" s="3" t="inlineStr">
        <is>
          <t>Se cierra con otro punto</t>
        </is>
      </c>
      <c r="K5" s="3" t="inlineStr"/>
      <c r="L5" s="3" t="inlineStr"/>
      <c r="M5" s="3" t="inlineStr"/>
      <c r="N5" s="3" t="inlineStr"/>
      <c r="O5" s="3" t="inlineStr">
        <is>
          <t>Cambio de base</t>
        </is>
      </c>
      <c r="P5" s="3" t="inlineStr">
        <is>
          <t>2026-10-11</t>
        </is>
      </c>
      <c r="Q5" s="3" t="inlineStr">
        <is>
          <t>Base = programa del programador (respaldo del 2026-10-05 14:46). redrabbit.src y RedRabbit.dat siguen en el controlador: son módulos sobrantes y se siguen solo en G05.</t>
        </is>
      </c>
    </row>
    <row r="6">
      <c r="A6" s="6" t="inlineStr">
        <is>
          <t>G05</t>
        </is>
      </c>
      <c r="B6" s="7" t="inlineStr">
        <is>
          <t>Gestamp #5</t>
        </is>
      </c>
      <c r="C6" s="13" t="inlineStr">
        <is>
          <t>Bajo</t>
        </is>
      </c>
      <c r="D6" s="7" t="inlineStr">
        <is>
          <t>Programas sin uso
Gestamp: "Unused programs"</t>
        </is>
      </c>
      <c r="E6" s="9" t="inlineStr">
        <is>
          <t>Código + configuración</t>
        </is>
      </c>
      <c r="F6" s="9" t="inlineStr">
        <is>
          <t>Programador robot / Gestamp controles</t>
        </is>
      </c>
      <c r="G6" s="9" t="inlineStr">
        <is>
          <t>KRC/R1/Program/Centerline/centerline_loop.src, KRC/R1/safetest.src, KRC/R1/Program/MoveToPurge.src, KRC/R1/TP/GLUETECH, 11 módulos borrados por la depuración (tools/cleanup_allowlist)</t>
        </is>
      </c>
      <c r="H6" s="9"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9" t="inlineStr">
        <is>
          <t>G04, C28</t>
        </is>
      </c>
      <c r="J6" s="10" t="inlineStr">
        <is>
          <t>Abierto</t>
        </is>
      </c>
      <c r="K6" s="10" t="inlineStr"/>
      <c r="L6" s="10" t="inlineStr"/>
      <c r="M6" s="10" t="inlineStr"/>
      <c r="N6" s="10" t="inlineStr"/>
      <c r="O6" s="11" t="inlineStr">
        <is>
          <t>Avance del programador</t>
        </is>
      </c>
      <c r="P6" s="11" t="inlineStr">
        <is>
          <t>2026-10-13</t>
        </is>
      </c>
      <c r="Q6" s="11" t="inlineStr">
        <is>
          <t>Respaldo del 13/10 07:32. Quitó el código comentado de sps.sub y los TRIGGER comentados de las apps; ya no queda código comentado en los módulos activos. Siguen los módulos sobrantes capchange, electrodechange, redrabbit (no compila), POUNCE y safetest, y GlueTech instalado.</t>
        </is>
      </c>
    </row>
    <row r="7">
      <c r="A7" s="6" t="inlineStr">
        <is>
          <t>G06</t>
        </is>
      </c>
      <c r="B7" s="7" t="inlineStr">
        <is>
          <t>Gestamp #6</t>
        </is>
      </c>
      <c r="C7" s="14" t="inlineStr">
        <is>
          <t>Medio</t>
        </is>
      </c>
      <c r="D7" s="7" t="inlineStr">
        <is>
          <t>Cambio de electrodo: confirmación de 0.1 s y sin handshake
Gestamp: "Electrode change confirmation only 0.1 s, no handshake"</t>
        </is>
      </c>
      <c r="E7" s="9" t="inlineStr">
        <is>
          <t>Decisión + código</t>
        </is>
      </c>
      <c r="F7" s="9" t="inlineStr">
        <is>
          <t>Programador robot / Gestamp controles</t>
        </is>
      </c>
      <c r="G7" s="9" t="inlineStr">
        <is>
          <t>KRC/R1/Program/Utilities/gunelectrodechange.src, KRC/R1/cell.src</t>
        </is>
      </c>
      <c r="H7" s="9" t="inlineStr">
        <is>
          <t>• Se cumplen los criterios de F43.</t>
        </is>
      </c>
      <c r="I7" s="9" t="inlineStr">
        <is>
          <t>F43, F12</t>
        </is>
      </c>
      <c r="J7" s="10" t="inlineStr">
        <is>
          <t>Requiere decisión</t>
        </is>
      </c>
      <c r="K7" s="10" t="inlineStr"/>
      <c r="L7" s="10" t="inlineStr"/>
      <c r="M7" s="10" t="inlineStr"/>
      <c r="N7" s="10" t="inlineStr"/>
      <c r="O7" s="11" t="inlineStr">
        <is>
          <t>Estándar Gestamp</t>
        </is>
      </c>
      <c r="P7" s="11" t="inlineStr">
        <is>
          <t>2026-10-11</t>
        </is>
      </c>
      <c r="Q7" s="11"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6" t="inlineStr">
        <is>
          <t>G07</t>
        </is>
      </c>
      <c r="B8" s="7" t="inlineStr">
        <is>
          <t>Gestamp #7</t>
        </is>
      </c>
      <c r="C8" s="8" t="inlineStr">
        <is>
          <t>Alto</t>
        </is>
      </c>
      <c r="D8" s="7" t="inlineStr">
        <is>
          <t>Options 1, 2, 7 y 8 de Style_1 llaman el mismo programa
Gestamp: "Multiple options in Style_1 call the same sub-program"</t>
        </is>
      </c>
      <c r="E8" s="9" t="inlineStr">
        <is>
          <t>Decisión Gestamp + código</t>
        </is>
      </c>
      <c r="F8" s="9" t="inlineStr">
        <is>
          <t>Gestamp controles / Programador robot</t>
        </is>
      </c>
      <c r="G8" s="9" t="inlineStr">
        <is>
          <t>KRC/R1/Program/Styles/style_1.src, KRC/R1/Program/Styles/Options/style1opt1.src, KRC/R1/Program/StyleApps/Options/style1app2opt1.src, KRC/R1/Program/StyleApps/Options/style1app2opt2.src</t>
        </is>
      </c>
      <c r="H8" s="9" t="inlineStr">
        <is>
          <t>• Definición de options por escrito de Gestamp.
• Se cumplen los criterios de F02.
• Comentarios del código cambiado según docs/CONVENTIONS.md (inglés, señal con dirección y nombre); ningún encabezado de inline form ni línea dentro de un fold de form cambia sin estar declarado (F32, F21, F31).</t>
        </is>
      </c>
      <c r="I8" s="9" t="inlineStr">
        <is>
          <t>F02</t>
        </is>
      </c>
      <c r="J8" s="10" t="inlineStr">
        <is>
          <t>Requiere decisión</t>
        </is>
      </c>
      <c r="K8" s="10" t="inlineStr"/>
      <c r="L8" s="10" t="inlineStr"/>
      <c r="M8" s="10" t="inlineStr"/>
      <c r="N8" s="10" t="inlineStr"/>
      <c r="O8" s="11" t="inlineStr">
        <is>
          <t>Estándar Gestamp</t>
        </is>
      </c>
      <c r="P8" s="11" t="inlineStr">
        <is>
          <t>2026-10-11</t>
        </is>
      </c>
      <c r="Q8" s="11"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2" t="inlineStr">
        <is>
          <t>G08</t>
        </is>
      </c>
      <c r="B9" s="3" t="inlineStr">
        <is>
          <t>Gestamp #8</t>
        </is>
      </c>
      <c r="C9" s="5" t="inlineStr">
        <is>
          <t>Alto</t>
        </is>
      </c>
      <c r="D9" s="3" t="inlineStr">
        <is>
          <t>El ciclo red rabbit no sigue el camino de producción
Gestamp: "Separate Auto-Red Rabbit program that doesn't match production"</t>
        </is>
      </c>
      <c r="E9" s="3" t="inlineStr">
        <is>
          <t>Decisión + código</t>
        </is>
      </c>
      <c r="F9" s="3" t="inlineStr">
        <is>
          <t>Gestamp controles / Programador robot</t>
        </is>
      </c>
      <c r="G9" s="3" t="inlineStr">
        <is>
          <t>KRC/R1/Program/Styles/Options/Style1Opt10AutoRR.src, KRC/R1/Program/StylePicks/Options/style1pick1opt1AutoRR.src, KRC/R1/Program/StyleDrops/Options/style1drop1opt2AutoRR.src</t>
        </is>
      </c>
      <c r="H9" s="3" t="inlineStr">
        <is>
          <t>• Procedimiento red rabbit de Gestamp por escrito.
• Se cumplen los criterios de F19.
• Comentarios del código cambiado según docs/CONVENTIONS.md (inglés, señal con dirección y nombre); ningún encabezado de inline form ni línea dentro de un fold de form cambia sin estar declarado (F32, F21, F31).</t>
        </is>
      </c>
      <c r="I9" s="3" t="inlineStr">
        <is>
          <t>F19, G21</t>
        </is>
      </c>
      <c r="J9" s="3" t="inlineStr">
        <is>
          <t>Aceptado sin cambio</t>
        </is>
      </c>
      <c r="K9" s="3" t="inlineStr"/>
      <c r="L9" s="3" t="inlineStr"/>
      <c r="M9" s="3" t="inlineStr"/>
      <c r="N9" s="3" t="inlineStr"/>
      <c r="O9" s="3" t="inlineStr">
        <is>
          <t>Nota</t>
        </is>
      </c>
      <c r="P9" s="3" t="inlineStr">
        <is>
          <t>2026-10-12</t>
        </is>
      </c>
      <c r="Q9" s="3" t="inlineStr">
        <is>
          <t>Respaldo del 11/10 22:32. Pick red rabbit: ya no pide tuerca; sale por P2 y P1 a 100 % con CONT (antes P16 a 60 %); XAtPick3 +0.5 mm. El encabezado del módulo dice que es el pick de producción llamado por Style1Opt1: corregir el comentario.</t>
        </is>
      </c>
    </row>
    <row r="10">
      <c r="A10" s="2" t="inlineStr">
        <is>
          <t>G09</t>
        </is>
      </c>
      <c r="B10" s="3" t="inlineStr">
        <is>
          <t>Gestamp #9</t>
        </is>
      </c>
      <c r="C10" s="4" t="inlineStr">
        <is>
          <t>Medio</t>
        </is>
      </c>
      <c r="D10" s="3" t="inlineStr">
        <is>
          <t>Pieza en gripper al PLC fijada por programa, no por los sensores
Gestamp: "Part control to PLC is set/reset instead of reflecting the real part controls"</t>
        </is>
      </c>
      <c r="E10" s="3" t="inlineStr">
        <is>
          <t>Decisión + código</t>
        </is>
      </c>
      <c r="F10" s="3" t="inlineStr">
        <is>
          <t>Programador robot / Gestamp controles</t>
        </is>
      </c>
      <c r="G10" s="3"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3"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3" t="inlineStr">
        <is>
          <t>F12, C01, C16</t>
        </is>
      </c>
      <c r="J10" s="3" t="inlineStr">
        <is>
          <t>Aceptado sin cambio</t>
        </is>
      </c>
      <c r="K10" s="3" t="inlineStr"/>
      <c r="L10" s="3" t="inlineStr"/>
      <c r="M10" s="3" t="inlineStr"/>
      <c r="N10" s="3" t="inlineStr"/>
      <c r="O10" s="3" t="inlineStr">
        <is>
          <t>Estándar Gestamp</t>
        </is>
      </c>
      <c r="P10" s="3" t="inlineStr">
        <is>
          <t>2026-10-11</t>
        </is>
      </c>
      <c r="Q10" s="3" t="inlineStr">
        <is>
          <t>Gestamp pone y quita $OUT[18] con inline forms OUT en pick, drop y reject; el nuestro igual (picks, drop al conveyor, drop red rabbit y RejectGE4). Aceptado sin cambio (igual que R20); el cierre final lo acepta Gestamp.</t>
        </is>
      </c>
    </row>
    <row r="11">
      <c r="A11" s="2" t="inlineStr">
        <is>
          <t>G10</t>
        </is>
      </c>
      <c r="B11" s="3" t="inlineStr">
        <is>
          <t>Gestamp #10</t>
        </is>
      </c>
      <c r="C11" s="4" t="inlineStr">
        <is>
          <t>Medio</t>
        </is>
      </c>
      <c r="D11" s="3" t="inlineStr">
        <is>
          <t>Comandos de gripper GripperTech en todos los movimientos de gripper
Gestamp: "Gripper commands not used at all times"</t>
        </is>
      </c>
      <c r="E11" s="3" t="inlineStr">
        <is>
          <t>Código + prueba en celda</t>
        </is>
      </c>
      <c r="F11" s="3" t="inlineStr">
        <is>
          <t>Programador robot / Puesta en marcha</t>
        </is>
      </c>
      <c r="G11" s="3"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3" t="inlineStr">
        <is>
          <t>• Se cumplen los criterios de F31 y F33.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3" t="inlineStr">
        <is>
          <t>F31, F33</t>
        </is>
      </c>
      <c r="J11" s="3" t="inlineStr">
        <is>
          <t>Se cierra con otro punto</t>
        </is>
      </c>
      <c r="K11" s="3" t="inlineStr"/>
      <c r="L11" s="3" t="inlineStr"/>
      <c r="M11" s="3" t="inlineStr"/>
      <c r="N11" s="3" t="inlineStr"/>
      <c r="O11" s="3" t="inlineStr">
        <is>
          <t>Estándar Gestamp</t>
        </is>
      </c>
      <c r="P11" s="3" t="inlineStr">
        <is>
          <t>2026-10-11</t>
        </is>
      </c>
      <c r="Q11" s="3"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2" t="inlineStr">
        <is>
          <t>G11</t>
        </is>
      </c>
      <c r="B12" s="3" t="inlineStr">
        <is>
          <t>Gestamp #11</t>
        </is>
      </c>
      <c r="C12" s="4" t="inlineStr">
        <is>
          <t>Medio</t>
        </is>
      </c>
      <c r="D12" s="3" t="inlineStr">
        <is>
          <t>Sin GOTO ni etiquetas
Gestamp: "Use of Goto labels"</t>
        </is>
      </c>
      <c r="E12" s="3" t="inlineStr">
        <is>
          <t>Código + prueba en celda</t>
        </is>
      </c>
      <c r="F12" s="3" t="inlineStr">
        <is>
          <t>Programador robot (prueba en celda)</t>
        </is>
      </c>
      <c r="G12" s="3"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3"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3" t="inlineStr">
        <is>
          <t>F30, F07</t>
        </is>
      </c>
      <c r="J12" s="3" t="inlineStr">
        <is>
          <t>Cerrado - auditado</t>
        </is>
      </c>
      <c r="K12" s="3" t="inlineStr"/>
      <c r="L12" s="3" t="inlineStr"/>
      <c r="M12" s="3" t="inlineStr"/>
      <c r="N12" s="3" t="inlineStr"/>
      <c r="O12" s="3" t="inlineStr">
        <is>
          <t>Cerrado - auditado</t>
        </is>
      </c>
      <c r="P12" s="3" t="inlineStr">
        <is>
          <t>2026-10-11</t>
        </is>
      </c>
      <c r="Q12" s="3" t="inlineStr">
        <is>
          <t>Respaldo del 10/10 (versión de oficina del 05/10 cargada + cambios suyos del 06 al 10/10). Sin GOTO ni etiquetas en ningún módulo activo (solo quedaban en trigger1-3, que ya borró).</t>
        </is>
      </c>
    </row>
    <row r="13">
      <c r="A13" s="2" t="inlineStr">
        <is>
          <t>G12</t>
        </is>
      </c>
      <c r="B13" s="3" t="inlineStr">
        <is>
          <t>Gestamp #12</t>
        </is>
      </c>
      <c r="C13" s="4" t="inlineStr">
        <is>
          <t>Medio</t>
        </is>
      </c>
      <c r="D13" s="3" t="inlineStr">
        <is>
          <t>Nombres de señal en lugar de números de E/S
Gestamp: "Use of I/O numbers instead of signal names"</t>
        </is>
      </c>
      <c r="E13" s="3" t="inlineStr">
        <is>
          <t>Código + prueba en celda</t>
        </is>
      </c>
      <c r="F13" s="3" t="inlineStr">
        <is>
          <t>Programador robot (prueba en celda)</t>
        </is>
      </c>
      <c r="G13" s="3" t="inlineStr">
        <is>
          <t>KRC/R1/Program/Centerline/centerline_weld.src, KRC/R1/Program/Centerline/PRELOAD.src, KRC/R1/Program/Centerline/CENTERLINE_HOME.src, KRC/R1/System/sps.sub, KRC/R1/TP/AutomationCore/automationcoreroutines.dat, KRC/R1/System/$config.dat</t>
        </is>
      </c>
      <c r="H13" s="3"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3" t="inlineStr">
        <is>
          <t>F17, C23, F29</t>
        </is>
      </c>
      <c r="J13" s="3" t="inlineStr">
        <is>
          <t>Cerrado - auditado</t>
        </is>
      </c>
      <c r="K13" s="3" t="inlineStr"/>
      <c r="L13" s="3" t="inlineStr"/>
      <c r="M13" s="3" t="inlineStr"/>
      <c r="N13" s="3" t="inlineStr"/>
      <c r="O13" s="3" t="inlineStr">
        <is>
          <t>Cerrado - auditado</t>
        </is>
      </c>
      <c r="P13" s="3" t="inlineStr">
        <is>
          <t>2026-10-11</t>
        </is>
      </c>
      <c r="Q13" s="3" t="inlineStr">
        <is>
          <t>Respaldo del 10/10 (versión de oficina del 05/10 cargada + cambios suyos del 06 al 10/10). Sin $IN/$OUT con número fuera de inline forms en los módulos activos: el pedestal usa los nombres de la versión de oficina (do498..do505, di466, di467, di470).</t>
        </is>
      </c>
    </row>
    <row r="14">
      <c r="A14" s="2" t="inlineStr">
        <is>
          <t>G13</t>
        </is>
      </c>
      <c r="B14" s="3" t="inlineStr">
        <is>
          <t>Gestamp #13</t>
        </is>
      </c>
      <c r="C14" s="4" t="inlineStr">
        <is>
          <t>Medio</t>
        </is>
      </c>
      <c r="D14" s="3" t="inlineStr">
        <is>
          <t>Código simplificado (nut present en una línea, duplicados fuera)
Gestamp: "Poor programming (10 lines for nut present)"</t>
        </is>
      </c>
      <c r="E14" s="3" t="inlineStr">
        <is>
          <t>Código + prueba en celda</t>
        </is>
      </c>
      <c r="F14" s="3" t="inlineStr">
        <is>
          <t>Programador robot (prueba en celda)</t>
        </is>
      </c>
      <c r="G14" s="3"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3"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3" t="inlineStr">
        <is>
          <t>F28, F03, F31</t>
        </is>
      </c>
      <c r="J14" s="3" t="inlineStr">
        <is>
          <t>Cerrado - auditado</t>
        </is>
      </c>
      <c r="K14" s="3" t="inlineStr"/>
      <c r="L14" s="3" t="inlineStr"/>
      <c r="M14" s="3" t="inlineStr"/>
      <c r="N14" s="3" t="inlineStr"/>
      <c r="O14" s="3" t="inlineStr">
        <is>
          <t>Cerrado - auditado</t>
        </is>
      </c>
      <c r="P14" s="3" t="inlineStr">
        <is>
          <t>2026-10-11</t>
        </is>
      </c>
      <c r="Q14" s="3" t="inlineStr">
        <is>
          <t>Respaldo del 10/10 (versión de oficina del 05/10 cargada + cambios suyos del 06 al 10/10). Nut check como Gestamp: WAIT SEC 0.2 y después PARTPRESENTn = di227NutPresent1 (style1app2opt1.src:65-68, igual en las 3 tuercas).</t>
        </is>
      </c>
    </row>
    <row r="15">
      <c r="A15" s="2" t="inlineStr">
        <is>
          <t>G14</t>
        </is>
      </c>
      <c r="B15" s="3" t="inlineStr">
        <is>
          <t>Gestamp #14</t>
        </is>
      </c>
      <c r="C15" s="4" t="inlineStr">
        <is>
          <t>Medio</t>
        </is>
      </c>
      <c r="D15" s="3" t="inlineStr">
        <is>
          <t>Revisar gripper vacío antes del comando de gripper
Gestamp: "Gripper opened before the part control check"</t>
        </is>
      </c>
      <c r="E15" s="3" t="inlineStr">
        <is>
          <t>Código + prueba en celda</t>
        </is>
      </c>
      <c r="F15" s="3" t="inlineStr">
        <is>
          <t>Programador robot (prueba en celda)</t>
        </is>
      </c>
      <c r="G15" s="3" t="inlineStr">
        <is>
          <t>KRC/R1/Program/StylePicks/Options/style1pick1opt1.src, KRC/R1/Program/StylePicks/Options/style1pick1opt2.src, KRC/R1/Program/StylePicks/Options/style1pick1opt1AutoRR.src</t>
        </is>
      </c>
      <c r="H15" s="3" t="inlineStr">
        <is>
          <t>• En los tres picks la espera de gripper vacío está antes del primer comando de gripper.
• Prueba en T1: con una pieza en el gripper al iniciar el pick, el robot se queda en la espera sin mover el gripper. Anotar fecha.</t>
        </is>
      </c>
      <c r="I15" s="3" t="inlineStr"/>
      <c r="J15" s="3" t="inlineStr">
        <is>
          <t>Cerrado - auditado</t>
        </is>
      </c>
      <c r="K15" s="3" t="inlineStr"/>
      <c r="L15" s="3" t="inlineStr"/>
      <c r="M15" s="3" t="inlineStr"/>
      <c r="N15" s="3" t="inlineStr"/>
      <c r="O15" s="3" t="inlineStr">
        <is>
          <t>Cerrado - auditado</t>
        </is>
      </c>
      <c r="P15" s="3" t="inlineStr">
        <is>
          <t>2026-10-11</t>
        </is>
      </c>
      <c r="Q15" s="3" t="inlineStr">
        <is>
          <t>Respaldo del 10/10 (versión de oficina del 05/10 cargada + cambios suyos del 06 al 10/10). En los picks la espera de gripper vacío va antes del primer GRPg_SetStateAndCheck (style1pick1opt1.src:37 y :46).</t>
        </is>
      </c>
    </row>
    <row r="16">
      <c r="A16" s="2" t="inlineStr">
        <is>
          <t>G15</t>
        </is>
      </c>
      <c r="B16" s="3" t="inlineStr">
        <is>
          <t>Gestamp #15</t>
        </is>
      </c>
      <c r="C16" s="12" t="inlineStr">
        <is>
          <t>Bajo</t>
        </is>
      </c>
      <c r="D16" s="3" t="inlineStr">
        <is>
          <t>Nombres, variables y comentarios en inglés
Gestamp: "Names, variables and comments not in English"</t>
        </is>
      </c>
      <c r="E16" s="3" t="inlineStr">
        <is>
          <t>Código</t>
        </is>
      </c>
      <c r="F16" s="3" t="inlineStr">
        <is>
          <t>Programador robot (prueba en celda)</t>
        </is>
      </c>
      <c r="G16" s="3"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3"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3" t="inlineStr">
        <is>
          <t>C26, F36</t>
        </is>
      </c>
      <c r="J16" s="3" t="inlineStr">
        <is>
          <t>Cerrado - auditado</t>
        </is>
      </c>
      <c r="K16" s="3" t="inlineStr"/>
      <c r="L16" s="3" t="inlineStr"/>
      <c r="M16" s="3" t="inlineStr"/>
      <c r="N16" s="3" t="inlineStr"/>
      <c r="O16" s="3" t="inlineStr">
        <is>
          <t>Cerrado - auditado</t>
        </is>
      </c>
      <c r="P16" s="3" t="inlineStr">
        <is>
          <t>2026-10-11</t>
        </is>
      </c>
      <c r="Q16" s="3"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2" t="inlineStr">
        <is>
          <t>G16</t>
        </is>
      </c>
      <c r="B17" s="3" t="inlineStr">
        <is>
          <t>Gestamp #16</t>
        </is>
      </c>
      <c r="C17" s="4" t="inlineStr">
        <is>
          <t>Medio</t>
        </is>
      </c>
      <c r="D17" s="3" t="inlineStr">
        <is>
          <t>Constantes para límites de carrera, presiones y tiempos
Gestamp: "NO variables for e.g. stroke limits"</t>
        </is>
      </c>
      <c r="E17" s="3" t="inlineStr">
        <is>
          <t>Código + prueba en celda</t>
        </is>
      </c>
      <c r="F17" s="3" t="inlineStr">
        <is>
          <t>Programador robot (prueba en celda)</t>
        </is>
      </c>
      <c r="G17" s="3" t="inlineStr">
        <is>
          <t>KRC/R1/System/$config.dat, KRC/R1/Program/Centerline/centerline_weld.src, KRC/R1/Program/Centerline/CENTERLINE_HOME.src</t>
        </is>
      </c>
      <c r="H17" s="3" t="inlineStr">
        <is>
          <t>• No quedan esos números en líneas ejecutables de CENTERLINE_WELD / CENTERLINE_HOME.
• Un ciclo de soldadura completo en automático; valores leídos en el display de variables iguales a los del fold CENTERLINE CONTROL. Anotar fecha.</t>
        </is>
      </c>
      <c r="I17" s="3" t="inlineStr">
        <is>
          <t>F16, F44, F41</t>
        </is>
      </c>
      <c r="J17" s="3" t="inlineStr">
        <is>
          <t>Cerrado - auditado</t>
        </is>
      </c>
      <c r="K17" s="3" t="inlineStr"/>
      <c r="L17" s="3" t="inlineStr"/>
      <c r="M17" s="3" t="inlineStr"/>
      <c r="N17" s="3" t="inlineStr"/>
      <c r="O17" s="3" t="inlineStr">
        <is>
          <t>Cerrado - auditado</t>
        </is>
      </c>
      <c r="P17" s="3" t="inlineStr">
        <is>
          <t>2026-10-11</t>
        </is>
      </c>
      <c r="Q17" s="3" t="inlineStr">
        <is>
          <t>Respaldo del 10/10 (versión de oficina del 05/10 cargada + cambios suyos del 06 al 10/10). CENTERLINE_WELD y CENTERLINE_HOME usan las constantes de $config.dat (ventana, tiempos, presiones, programa Bosch).</t>
        </is>
      </c>
    </row>
    <row r="18">
      <c r="A18" s="2" t="inlineStr">
        <is>
          <t>G17</t>
        </is>
      </c>
      <c r="B18" s="3" t="inlineStr">
        <is>
          <t>Gestamp #17</t>
        </is>
      </c>
      <c r="C18" s="12" t="inlineStr">
        <is>
          <t>Bajo</t>
        </is>
      </c>
      <c r="D18" s="3" t="inlineStr">
        <is>
          <t>Lógica Nut_weld_Retry inútil
Gestamp: "Nut_weld_Retry logic useless"</t>
        </is>
      </c>
      <c r="E18" s="3" t="inlineStr">
        <is>
          <t>Código</t>
        </is>
      </c>
      <c r="F18" s="3" t="inlineStr">
        <is>
          <t>Programador robot (prueba en celda)</t>
        </is>
      </c>
      <c r="G18" s="3" t="inlineStr">
        <is>
          <t>KRC/R1/Program/StyleApps/Options/style1app1opt1.src, KRC/R1/Program/StyleApps/Options/style1app1opt2.src, KRC/R1/Program/StyleApps/Options/style1app1opt3.src, KRC/R1/System/$config.dat</t>
        </is>
      </c>
      <c r="H18" s="3" t="inlineStr">
        <is>
          <t>• NUT_WELD_RETRY y RETRY_NUT1 no aparecen en el respaldo.
• Un ciclo completo en automático con las 3 tuercas, sin errores. Anotar fecha.</t>
        </is>
      </c>
      <c r="I18" s="3" t="inlineStr">
        <is>
          <t>F24</t>
        </is>
      </c>
      <c r="J18" s="3" t="inlineStr">
        <is>
          <t>Cerrado - auditado</t>
        </is>
      </c>
      <c r="K18" s="3" t="inlineStr"/>
      <c r="L18" s="3" t="inlineStr"/>
      <c r="M18" s="3" t="inlineStr"/>
      <c r="N18" s="3" t="inlineStr"/>
      <c r="O18" s="3" t="inlineStr">
        <is>
          <t>Cerrado - auditado</t>
        </is>
      </c>
      <c r="P18" s="3" t="inlineStr">
        <is>
          <t>2026-10-11</t>
        </is>
      </c>
      <c r="Q18" s="3"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2" t="inlineStr">
        <is>
          <t>G18</t>
        </is>
      </c>
      <c r="B19" s="3" t="inlineStr">
        <is>
          <t>Gestamp #18</t>
        </is>
      </c>
      <c r="C19" s="5" t="inlineStr">
        <is>
          <t>Alto</t>
        </is>
      </c>
      <c r="D19" s="3" t="inlineStr">
        <is>
          <t>Sin chequeo de soldadura buena
Gestamp: "NO check for Weld OK, just weld finished"</t>
        </is>
      </c>
      <c r="E19" s="3" t="inlineStr">
        <is>
          <t>Código + prueba en celda</t>
        </is>
      </c>
      <c r="F19" s="3" t="inlineStr">
        <is>
          <t>Programador robot / Puesta en marcha</t>
        </is>
      </c>
      <c r="G19" s="3" t="inlineStr">
        <is>
          <t>KRC/R1/Program/Centerline/centerline_weld.src, KRC/R1/Program/Styles/Options/style1opt1.src</t>
        </is>
      </c>
      <c r="H19" s="3" t="inlineStr">
        <is>
          <t>• Se cumplen los criterios de F08.</t>
        </is>
      </c>
      <c r="I19" s="3" t="inlineStr">
        <is>
          <t>F08</t>
        </is>
      </c>
      <c r="J19" s="3" t="inlineStr">
        <is>
          <t>Aceptado sin cambio</t>
        </is>
      </c>
      <c r="K19" s="3" t="inlineStr"/>
      <c r="L19" s="3" t="inlineStr"/>
      <c r="M19" s="3" t="inlineStr"/>
      <c r="N19" s="3" t="inlineStr"/>
      <c r="O19" s="3" t="inlineStr">
        <is>
          <t>Avance del programador</t>
        </is>
      </c>
      <c r="P19" s="3" t="inlineStr">
        <is>
          <t>2026-10-11</t>
        </is>
      </c>
      <c r="Q19" s="3" t="inlineStr">
        <is>
          <t>Respaldo del 10/10 (versión de oficina del 05/10 cargada + cambios suyos del 06 al 10/10). Ahora además lee la falla del Bosch (WELD_COMPLETE_WAIT), igual que R20.</t>
        </is>
      </c>
    </row>
    <row r="20">
      <c r="A20" s="6" t="inlineStr">
        <is>
          <t>G19</t>
        </is>
      </c>
      <c r="B20" s="7" t="inlineStr">
        <is>
          <t>Gestamp #19</t>
        </is>
      </c>
      <c r="C20" s="8" t="inlineStr">
        <is>
          <t>Alto</t>
        </is>
      </c>
      <c r="D20" s="7" t="inlineStr">
        <is>
          <t>Handshake de la tuerca frágil ante selección de bloque, reset y reinicio
Gestamp: "Next_Nut_Ready logic can fail at block selection, reset, reboot"</t>
        </is>
      </c>
      <c r="E20" s="9" t="inlineStr">
        <is>
          <t>Código + prueba en celda</t>
        </is>
      </c>
      <c r="F20" s="9" t="inlineStr">
        <is>
          <t>Programador robot</t>
        </is>
      </c>
      <c r="G20" s="9"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9" t="inlineStr">
        <is>
          <t>• Se cumplen los criterios de F38 y F14.</t>
        </is>
      </c>
      <c r="I20" s="9" t="inlineStr">
        <is>
          <t>F38, F14</t>
        </is>
      </c>
      <c r="J20" s="10" t="inlineStr">
        <is>
          <t>Abierto</t>
        </is>
      </c>
      <c r="K20" s="10" t="inlineStr"/>
      <c r="L20" s="10" t="inlineStr"/>
      <c r="M20" s="10" t="inlineStr"/>
      <c r="N20" s="10" t="inlineStr"/>
      <c r="O20" s="11" t="inlineStr">
        <is>
          <t>Alta (Gestamp)</t>
        </is>
      </c>
      <c r="P20" s="11" t="inlineStr">
        <is>
          <t>2026-10-04</t>
        </is>
      </c>
      <c r="Q20" s="11" t="inlineStr">
        <is>
          <t>Punto 19 de la revisión de Gestamp del 2026-10-02 (BMW-03-10R1).</t>
        </is>
      </c>
    </row>
    <row r="21">
      <c r="A21" s="2" t="inlineStr">
        <is>
          <t>G20</t>
        </is>
      </c>
      <c r="B21" s="3" t="inlineStr">
        <is>
          <t>Gestamp #20</t>
        </is>
      </c>
      <c r="C21" s="5" t="inlineStr">
        <is>
          <t>Alto</t>
        </is>
      </c>
      <c r="D21" s="3" t="inlineStr">
        <is>
          <t>Request_next_nut y NUT_START fuera de los inline forms
Gestamp: "Change of xP0 deletes Request_next_nut inside inline forms"</t>
        </is>
      </c>
      <c r="E21" s="3" t="inlineStr">
        <is>
          <t>Código + prueba en celda</t>
        </is>
      </c>
      <c r="F21" s="3" t="inlineStr">
        <is>
          <t>Programador robot (prueba en celda)</t>
        </is>
      </c>
      <c r="G21" s="3"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3"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3" t="inlineStr">
        <is>
          <t>F32, F14</t>
        </is>
      </c>
      <c r="J21" s="3" t="inlineStr">
        <is>
          <t>Cerrado - auditado</t>
        </is>
      </c>
      <c r="K21" s="3" t="inlineStr"/>
      <c r="L21" s="3" t="inlineStr"/>
      <c r="M21" s="3" t="inlineStr"/>
      <c r="N21" s="3" t="inlineStr"/>
      <c r="O21" s="3" t="inlineStr">
        <is>
          <t>Cerrado - auditado</t>
        </is>
      </c>
      <c r="P21" s="3" t="inlineStr">
        <is>
          <t>2026-10-11</t>
        </is>
      </c>
      <c r="Q21" s="3"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6" t="inlineStr">
        <is>
          <t>G21</t>
        </is>
      </c>
      <c r="B22" s="7" t="inlineStr">
        <is>
          <t>Gestamp #21</t>
        </is>
      </c>
      <c r="C22" s="8" t="inlineStr">
        <is>
          <t>Alto</t>
        </is>
      </c>
      <c r="D22" s="7" t="inlineStr">
        <is>
          <t>El nut check no funciona para red rabbit
Gestamp: "Style1app2Opt1 will not work for RedRabbit"</t>
        </is>
      </c>
      <c r="E22" s="9" t="inlineStr">
        <is>
          <t>Decisión + código</t>
        </is>
      </c>
      <c r="F22" s="9" t="inlineStr">
        <is>
          <t>Gestamp controles / Programador robot</t>
        </is>
      </c>
      <c r="G22" s="9" t="inlineStr">
        <is>
          <t>KRC/R1/Program/StyleApps/Options/style1app2opt1.src, KRC/R1/Program/StyleApps/Options/style1app2opt2.src, KRC/R1/Program/Styles/Options/Style1Opt10AutoRR.src</t>
        </is>
      </c>
      <c r="H22" s="9"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9" t="inlineStr">
        <is>
          <t>F19, G08</t>
        </is>
      </c>
      <c r="J22" s="10" t="inlineStr">
        <is>
          <t>Abierto</t>
        </is>
      </c>
      <c r="K22" s="10" t="inlineStr"/>
      <c r="L22" s="10" t="inlineStr"/>
      <c r="M22" s="10" t="inlineStr"/>
      <c r="N22" s="10" t="inlineStr"/>
      <c r="O22" s="11" t="inlineStr">
        <is>
          <t>Sin cambio</t>
        </is>
      </c>
      <c r="P22" s="11" t="inlineStr">
        <is>
          <t>2026-10-11</t>
        </is>
      </c>
      <c r="Q22" s="11" t="inlineStr">
        <is>
          <t>Respaldo del 10/10 (versión de oficina del 05/10 cargada + cambios suyos del 06 al 10/10). El red rabbit sigue dando FAILED solo con las 3 tuercas (AND, style1app2opt1.src:164) y el drop red rabbit borra do141/do142 (ya fuera del fold).</t>
        </is>
      </c>
    </row>
    <row r="23">
      <c r="A23" s="6" t="inlineStr">
        <is>
          <t>G22</t>
        </is>
      </c>
      <c r="B23" s="7" t="inlineStr">
        <is>
          <t>Gestamp #22</t>
        </is>
      </c>
      <c r="C23" s="8" t="inlineStr">
        <is>
          <t>Alto</t>
        </is>
      </c>
      <c r="D23" s="7" t="inlineStr">
        <is>
          <t>Uso incorrecto de AutomationCore
Gestamp: "Use of AutomationCore is wrong in multiple places"</t>
        </is>
      </c>
      <c r="E23" s="9" t="inlineStr">
        <is>
          <t>Decisión Gestamp + código</t>
        </is>
      </c>
      <c r="F23" s="9" t="inlineStr">
        <is>
          <t>Gestamp controles / Programador robot</t>
        </is>
      </c>
      <c r="G23" s="9" t="inlineStr">
        <is>
          <t>KRC/R1/System/sps.sub, KRC/R1/TP/AutomationCore/automationcoreroutines.src, inline forms AutomationCore, KRC/R1/Program/Utilities/RejectGE4.src, KRC/R1/Program/Styles/Options/style1opt1.src, KRC/R1/cell.src, KRC/R1/Program/masref_user.src</t>
        </is>
      </c>
      <c r="H23" s="9" t="inlineStr">
        <is>
          <t>• Lista de Gestamp recibida y anotada aquí.
• Cada lugar de la lista corregido y auditado.</t>
        </is>
      </c>
      <c r="I23" s="9" t="inlineStr">
        <is>
          <t>F12, C01, F46, F21, F20, C11, C12, C18, C19, C14, F35</t>
        </is>
      </c>
      <c r="J23" s="10" t="inlineStr">
        <is>
          <t>Abierto</t>
        </is>
      </c>
      <c r="K23" s="10" t="inlineStr"/>
      <c r="L23" s="10" t="inlineStr"/>
      <c r="M23" s="10" t="inlineStr"/>
      <c r="N23" s="10" t="inlineStr"/>
      <c r="O23" s="11" t="inlineStr">
        <is>
          <t>Nota</t>
        </is>
      </c>
      <c r="P23" s="11" t="inlineStr">
        <is>
          <t>2026-10-12</t>
        </is>
      </c>
      <c r="Q23" s="11" t="inlineStr">
        <is>
          <t>Respaldo del 11/10 22:32. Desde el 10/10 AutomationCore_BKG está apagado: C01, C19 y C14 reabiertos (lo cerrado el 11/10 suponía el background activo, como en su respaldo del 05/10).</t>
        </is>
      </c>
    </row>
    <row r="24">
      <c r="A24" s="15" t="inlineStr">
        <is>
          <t>F14</t>
        </is>
      </c>
      <c r="B24" s="9" t="inlineStr">
        <is>
          <t>Ethos, para G19 (Calvin #11)</t>
        </is>
      </c>
      <c r="C24" s="14" t="inlineStr">
        <is>
          <t>Medio</t>
        </is>
      </c>
      <c r="D24" s="9" t="inlineStr">
        <is>
          <t>NUT_READY no se consume al soldar; la siguiente tuerca depende solo de TRIGGERs</t>
        </is>
      </c>
      <c r="E24" s="9" t="inlineStr">
        <is>
          <t>Código + prueba en celda</t>
        </is>
      </c>
      <c r="F24" s="9" t="inlineStr">
        <is>
          <t>Programador robot</t>
        </is>
      </c>
      <c r="G24" s="9" t="inlineStr">
        <is>
          <t>KRC/R1/Program/Centerline/centerline_weld.src, KRC/R1/Program/Centerline/PRELOAD.src, KRC/R1/Program/Centerline/Request_next_nut.src, KRC/R1/Program/StyleApps/Options/style1app1opt1.src, KRC/R1/Program/StyleApps/Options/style1app1opt2.src, KRC/R1/Program/StyleApps/Options/style1app1opt3.src, KRC/R1/Program/StylePicks/Options/style1pick1opt1.src, KRC/R1/Program/StylePicks/Options/style1pick1opt2.src, KRC/R1/Program/StylePicks/Options/style1pick1opt1AutoRR.src, KRC/R1/System/$config.dat</t>
        </is>
      </c>
      <c r="H24" s="9" t="inlineStr">
        <is>
          <t>• En CENTERLINE_WELD después de $IN[483] dipw1_WeldComplete, o inmediatamente después de CENTERLINE_WELD() en style1app1opt1..3, existe NUT_READY = FALSE (y la bandera que usen las tuercas 2 y 3) antes de salir del pedestal.
• La petición de las tuercas 2 y 3 es una instrucción en el flujo, fuera de TRIGGER: Request_next_nut() justo después de CENTERLINE_WELD, con la pieza aún en el pedestal (aceptado en F53, como R20). La de la tuerca 1 puede seguir por TRIGGER antes del fold del movimiento del pick (G20).
• En PRELOAD una petición que llega con preload activo o con tuerca cargada sin consumir no arranca otra alimentación.
• Antes de alimentar se confirma pin vacío: por sensor si existe (nombre y dirección), o por estado si se confirma en sitio que no hay sensor; el comentario del paso dice cuál.
• El pick red rabbit no pide preload, o la lista anota por qué sí.
• Prueba en celda: (a) cancelar el ciclo con tuerca precargada y reiniciar desde home: no hay doble tuerca; (b) cancelar después de soldar la tuerca 1 y reiniciar con selección de paso en style1app1opt2: el robot no entra a soldar sin preload nuevo. Anotar fecha y resultado.
• Comentarios del código cambiado según docs/CONVENTIONS.md (inglés, señal con dirección y nombre); ningún encabezado de inline form ni línea dentro de un fold de form cambia sin estar declarado (F32, F21, F31).</t>
        </is>
      </c>
      <c r="I24" s="9" t="inlineStr">
        <is>
          <t>F11, F25, F32, F38</t>
        </is>
      </c>
      <c r="J24" s="10" t="inlineStr">
        <is>
          <t>Abierto</t>
        </is>
      </c>
      <c r="K24" s="10" t="inlineStr"/>
      <c r="L24" s="10" t="inlineStr"/>
      <c r="M24" s="10" t="inlineStr"/>
      <c r="N24" s="10" t="inlineStr"/>
      <c r="O24" s="11" t="inlineStr">
        <is>
          <t>Criterio ajustado</t>
        </is>
      </c>
      <c r="P24" s="11" t="inlineStr">
        <is>
          <t>2026-10-12</t>
        </is>
      </c>
      <c r="Q24" s="11" t="inlineStr">
        <is>
          <t>El criterio de la petición en el flujo se ajusta a lo ya aceptado en G20 (TRIGGER de la tuerca 1 antes del fold) y F53 (petición justo después de soldar): se cumple desde el 10/10. El pick red rabbit ya no pide preload (11/10). Quedan NUT_READY = FALSE al soldar, que una petición repetida no alimente otra tuerca, el pin vacío antes de alimentar y la prueba en celda.</t>
        </is>
      </c>
    </row>
    <row r="25">
      <c r="A25" s="15" t="inlineStr">
        <is>
          <t>F21</t>
        </is>
      </c>
      <c r="B25" s="9" t="inlineStr">
        <is>
          <t>Ethos, para G07</t>
        </is>
      </c>
      <c r="C25" s="14" t="inlineStr">
        <is>
          <t>Medio</t>
        </is>
      </c>
      <c r="D25" s="9" t="inlineStr">
        <is>
          <t>Parámetros ocultos de inline forms AutomationCore no coinciden con la llamada</t>
        </is>
      </c>
      <c r="E25" s="9" t="inlineStr">
        <is>
          <t>Código + prueba en celda</t>
        </is>
      </c>
      <c r="F25" s="9" t="inlineStr">
        <is>
          <t>Programador robot</t>
        </is>
      </c>
      <c r="G25" s="9" t="inlineStr">
        <is>
          <t>KRC/R1/Program/StylePicks/Options/style1pick1opt2.src, KRC/R1/Program/StyleApps/Options/style1app2opt2.src, KRC/R1/Program/StyleDrops/Options/style1drop1opt1.src, KRC/R1/Program/StyleDrops/Options/style1drop1opt2AutoRR.src, KRC/R1/Program/StylePicks/Options/style1pick1opt1.src, KRC/R1/Program/StylePicks/Options/style1pick1opt1AutoRR.src, KRC/R1/Program/StyleApps/Options/style1app2opt1.src</t>
        </is>
      </c>
      <c r="H25" s="9" t="inlineStr">
        <is>
          <t>• En todos los forms de AutomationCore el AC_CmdParam oculto es igual al número de la llamada (convención del respaldo de Gestamp); la auditoría lo revisa.
• Después de corregir, un ciclo de cada estación en T1 sin cambio de pickup, application ni drop-off. Anotar fecha.</t>
        </is>
      </c>
      <c r="I25" s="9" t="inlineStr">
        <is>
          <t>F32</t>
        </is>
      </c>
      <c r="J25" s="10" t="inlineStr">
        <is>
          <t>Abierto</t>
        </is>
      </c>
      <c r="K25" s="10" t="inlineStr"/>
      <c r="L25" s="10" t="inlineStr"/>
      <c r="M25" s="10" t="inlineStr"/>
      <c r="N25" s="10" t="inlineStr"/>
      <c r="O25" s="11" t="inlineStr">
        <is>
          <t>Sin cambio</t>
        </is>
      </c>
      <c r="P25" s="11" t="inlineStr">
        <is>
          <t>2026-10-11</t>
        </is>
      </c>
      <c r="Q25" s="11" t="inlineStr">
        <is>
          <t>Respaldo del 10/10 (versión de oficina del 05/10 cargada + cambios suyos del 06 al 10/10). Siguen 4 forms con AC_CmdParam oculto distinto a la llamada: style1drop1opt1.src:49 AC_DropOffCheck(1) y :108 AC_DropOff(1) con oculto 2; style1pick1opt2.src:34 AC_pickUPCheck(2) y :138 AC_pickUP(2) con oculto 1.</t>
        </is>
      </c>
    </row>
    <row r="26">
      <c r="A26" s="15" t="inlineStr">
        <is>
          <t>F31</t>
        </is>
      </c>
      <c r="B26" s="9" t="inlineStr">
        <is>
          <t>Ethos, para G07 (Calvin #25)</t>
        </is>
      </c>
      <c r="C26" s="14" t="inlineStr">
        <is>
          <t>Medio</t>
        </is>
      </c>
      <c r="D26" s="9" t="inlineStr">
        <is>
          <t>Forms GripperTech: parámetros ocultos de otro gripper; drop red rabbit con el gripper 3</t>
        </is>
      </c>
      <c r="E26" s="9" t="inlineStr">
        <is>
          <t>Código + prueba en celda</t>
        </is>
      </c>
      <c r="F26" s="9" t="inlineStr">
        <is>
          <t>Programador robot / Puesta en marcha</t>
        </is>
      </c>
      <c r="G26" s="9"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t>
        </is>
      </c>
      <c r="H26" s="9" t="inlineStr">
        <is>
          <t>• En los módulos listados cada form Gripper SET/CHECK tiene en su línea ;Params el mismo gripper y estado que su llamada (hecho en oficina para picks y drop al conveyor) y no queda GRPg_Check que repita el check del SET anterior.
• style1drop1opt2AutoRR no escribe $OUT[249]/$OUT[250] a mano y no usa forms del gripper 3; ningún módulo de producción usa los grippers 2-4.
• Prueba en el smartPAD: abrir y confirmar (Cmd OK) un form SET de cada módulo; en el respaldo siguiente las llamadas no cambiaron. En T1 sin pieza: con un switch del gripper 1 desconectado el check da su error (estrategia 1) en pick, drop y reject. Anotar fecha.
• Comentarios del código cambiado según docs/CONVENTIONS.md (inglés, señal con dirección y nombre); ningún encabezado de inline form ni línea dentro de un fold de form cambia sin estar declarado (F32, F21, F31).</t>
        </is>
      </c>
      <c r="I26" s="9" t="inlineStr">
        <is>
          <t>F33, F19</t>
        </is>
      </c>
      <c r="J26" s="10" t="inlineStr">
        <is>
          <t>Abierto</t>
        </is>
      </c>
      <c r="K26" s="10" t="inlineStr"/>
      <c r="L26" s="10" t="inlineStr"/>
      <c r="M26" s="10" t="inlineStr"/>
      <c r="N26" s="10" t="inlineStr"/>
      <c r="O26" s="11" t="inlineStr">
        <is>
          <t>Alta (Ethos)</t>
        </is>
      </c>
      <c r="P26" s="11" t="inlineStr">
        <is>
          <t>2026-10-04</t>
        </is>
      </c>
      <c r="Q26" s="11" t="inlineStr">
        <is>
          <t>Revisión Ethos del respaldo 658424 (v431_03_10_r1.zip del 2026-10-02).</t>
        </is>
      </c>
    </row>
    <row r="27">
      <c r="A27" s="15" t="inlineStr">
        <is>
          <t>F38</t>
        </is>
      </c>
      <c r="B27" s="9" t="inlineStr">
        <is>
          <t>Ethos, para G19 (Calvin #11)</t>
        </is>
      </c>
      <c r="C27" s="8" t="inlineStr">
        <is>
          <t>Alto</t>
        </is>
      </c>
      <c r="D27" s="9" t="inlineStr">
        <is>
          <t>Estado de la tuerca no se reinicializa al arrancar, en reset ni después de un reinicio</t>
        </is>
      </c>
      <c r="E27" s="9" t="inlineStr">
        <is>
          <t>Código + prueba en celda</t>
        </is>
      </c>
      <c r="F27" s="9" t="inlineStr">
        <is>
          <t>Programador robot</t>
        </is>
      </c>
      <c r="G27" s="9" t="inlineStr">
        <is>
          <t>KRC/R1/System/$config.dat, KRC/R1/Program/Centerline/PRELOAD.src, KRC/R1/cell.src, KRC/R1/System/sps.sub</t>
        </is>
      </c>
      <c r="H27" s="9" t="inlineStr">
        <is>
          <t>•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La seguridad del ciclo ya no depende del valor inicial declarado en $config.dat.
•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Comentarios del código cambiado según docs/CONVENTIONS.md (inglés, señal con dirección y nombre); ningún encabezado de inline form ni línea dentro de un fold de form cambia sin estar declarado (F32, F21, F31).</t>
        </is>
      </c>
      <c r="I27" s="9" t="inlineStr">
        <is>
          <t>F14, F10, F11, F13</t>
        </is>
      </c>
      <c r="J27" s="10" t="inlineStr">
        <is>
          <t>Abierto</t>
        </is>
      </c>
      <c r="K27" s="10" t="inlineStr"/>
      <c r="L27" s="10" t="inlineStr"/>
      <c r="M27" s="10" t="inlineStr"/>
      <c r="N27" s="10" t="inlineStr"/>
      <c r="O27" s="11" t="inlineStr">
        <is>
          <t>Alta (Calvin)</t>
        </is>
      </c>
      <c r="P27" s="11" t="inlineStr">
        <is>
          <t>2026-10-04</t>
        </is>
      </c>
      <c r="Q27" s="11" t="inlineStr">
        <is>
          <t>Revisión Ethos del respaldo 658424; el punto sale de la lista de Calvin (Calvin #11).</t>
        </is>
      </c>
    </row>
    <row r="28">
      <c r="A28" s="15" t="inlineStr">
        <is>
          <t>F43</t>
        </is>
      </c>
      <c r="B28" s="9" t="inlineStr">
        <is>
          <t>Ethos, para G06 (Calvin #29)</t>
        </is>
      </c>
      <c r="C28" s="14" t="inlineStr">
        <is>
          <t>Medio</t>
        </is>
      </c>
      <c r="D28" s="9" t="inlineStr">
        <is>
          <t>Cambio de electrodo: reset de stepper por pulso de 0.1 s y handshake que no cierra</t>
        </is>
      </c>
      <c r="E28" s="9" t="inlineStr">
        <is>
          <t>Decisión + código</t>
        </is>
      </c>
      <c r="F28" s="9" t="inlineStr">
        <is>
          <t>Programador robot / Gestamp controles</t>
        </is>
      </c>
      <c r="G28" s="9" t="inlineStr">
        <is>
          <t>KRC/R1/Program/Utilities/gunelectrodechange.src, KRC/R1/cell.src</t>
        </is>
      </c>
      <c r="H28" s="9" t="inlineStr">
        <is>
          <t>• Forma de pedir el cambio de electrodo acordada con Gestamp por escrito, y cell.src llama la rutina con esa petición, fuera de ciclo.
• El reset del stepper se confirma con $IN[487] (espera supervisada) en lugar de solo un pulso de 0.1 s.
• do092 y do091 se apagan siempre al terminar, después de que el PLC bajó su petición; ninguna salida del handshake queda en ON.
• Prueba en celda: petición, cambio, confirmación, reset de stepper confirmado y regreso a home. Anotar fecha.
• Comentarios del código cambiado según docs/CONVENTIONS.md (inglés, señal con dirección y nombre); ningún encabezado de inline form ni línea dentro de un fold de form cambia sin estar declarado (F32, F21, F31).</t>
        </is>
      </c>
      <c r="I28" s="9" t="inlineStr">
        <is>
          <t>F12, F15, C20</t>
        </is>
      </c>
      <c r="J28" s="10" t="inlineStr">
        <is>
          <t>Requiere decisión</t>
        </is>
      </c>
      <c r="K28" s="10" t="inlineStr"/>
      <c r="L28" s="10" t="inlineStr"/>
      <c r="M28" s="10" t="inlineStr"/>
      <c r="N28" s="10" t="inlineStr"/>
      <c r="O28" s="11" t="inlineStr">
        <is>
          <t>Estándar Gestamp</t>
        </is>
      </c>
      <c r="P28" s="11" t="inlineStr">
        <is>
          <t>2026-10-11</t>
        </is>
      </c>
      <c r="Q28" s="11" t="inlineStr">
        <is>
          <t>Respaldo del 10/10 (versión de oficina del 05/10 cargada + cambios suyos del 06 al 10/10). Mismo estado que G06.</t>
        </is>
      </c>
    </row>
    <row r="29">
      <c r="A29" s="2" t="inlineStr">
        <is>
          <t>C02</t>
        </is>
      </c>
      <c r="B29" s="3" t="inlineStr">
        <is>
          <t>Ethos, para G01</t>
        </is>
      </c>
      <c r="C29" s="16" t="inlineStr">
        <is>
          <t>-</t>
        </is>
      </c>
      <c r="D29" s="3" t="inlineStr">
        <is>
          <t>Designación BMW-03-10-R1 en los encabezados; confirmar formato con Gestamp</t>
        </is>
      </c>
      <c r="E29" s="3" t="inlineStr">
        <is>
          <t>Información Gestamp</t>
        </is>
      </c>
      <c r="F29" s="3" t="inlineStr">
        <is>
          <t>Ethos (Edgar) / Gestamp controles</t>
        </is>
      </c>
      <c r="G29" s="3" t="inlineStr">
        <is>
          <t>KRC/R1/cell.src, KRC/R1/System/sps.sub, KRC/R1/Program/Styles/style_1.src, KRC/R1/Program/Styles/Options/style1opt1.src, KRC/R1/Program/Styles/Options/Style1Opt10AutoRR.src, KRC/R1/Program/StylePicks/Options/style1pick1opt1.src, KRC/R1/Program/StylePicks/Options/style1pick1opt2.src, KRC/R1/Program/StylePicks/Options/style1pick1opt1AutoRR.src, KRC/R1/Program/StyleApps/Options/style1app1opt1.src, KRC/R1/Program/StyleApps/Options/style1app1opt2.src, KRC/R1/Program/StyleApps/Options/style1app1opt3.src, KRC/R1/Program/StyleApps/Options/style1app2opt1.src, KRC/R1/Program/StyleApps/Options/style1app2opt2.src, KRC/R1/Program/StyleDrops/Options/style1drop1opt1.src, KRC/R1/Program/StyleDrops/Options/style1drop1opt2AutoRR.src, KRC/R1/Program/Utilities/RejectGE4.src, KRC/R1/Program/Centerline/PRELOAD.src, KRC/R1/Program/Centerline/Request_next_nut.src, KRC/R1/Program/Centerline/centerline_weld.src, KRC/R1/Program/Centerline/CENTERLINE_HOME.src, KRC/R1/Program/HOME.src, KRC/R1/Program/masref_user.src, KRC/R1/Program/tm_useraction.src, KRC/R1/Program/Utilities/hometopounce.src, KRC/R1/Program/Utilities/pouncetohome.src, KRC/R1/Program/Utilities/hometorepair.src, KRC/R1/Program/Utilities/repairtohome.src, KRC/R1/Program/Utilities/gunelectrodechange.src, KRC/R1/Program/Utilities/closeandcheckallclamps.src, KRC/R1/Program/Utilities/openandcheckallclamps.src, KRC/R1/safetest.src</t>
        </is>
      </c>
      <c r="H29" s="3" t="inlineStr">
        <is>
          <t>• Confirmación escrita de Gestamp del formato, nombre de línea y códigos de dispositivo.
• Los encabezados del respaldo usan ese formato; los módulos nuevos también.</t>
        </is>
      </c>
      <c r="I29" s="3" t="inlineStr"/>
      <c r="J29" s="3" t="inlineStr">
        <is>
          <t>Se cierra con otro punto</t>
        </is>
      </c>
      <c r="K29" s="3" t="inlineStr"/>
      <c r="L29" s="3" t="inlineStr"/>
      <c r="M29" s="3" t="inlineStr"/>
      <c r="N29" s="3" t="inlineStr"/>
      <c r="O29" s="3" t="inlineStr">
        <is>
          <t>Se cierra con otro punto</t>
        </is>
      </c>
      <c r="P29" s="3" t="inlineStr">
        <is>
          <t>2026-10-13</t>
        </is>
      </c>
      <c r="Q29" s="3" t="inlineStr">
        <is>
          <t>Se cierra con G01 (Edgar, 2026-10-13): la designación BMW-03-10-R1 de los encabezados queda como está.</t>
        </is>
      </c>
    </row>
  </sheetData>
  <autoFilter ref="A1:Q29"/>
  <conditionalFormatting sqref="A2:Q29">
    <cfRule type="expression" priority="1" dxfId="0" stopIfTrue="1">
      <formula>OR($J2="Cerrado - auditado",$J2="Cerrado - depuración",$J2="Aceptado sin cambio",$J2="No aplica",$J2="Sin acción - documentado",$J2="Se cierra con otro punto")</formula>
    </cfRule>
  </conditionalFormatting>
  <dataValidations count="1">
    <dataValidation sqref="J2:J29"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7" t="inlineStr">
        <is>
          <t>Resumen - Puntos de Gestamp para el buy-off</t>
        </is>
      </c>
    </row>
    <row r="2">
      <c r="A2" s="18" t="inlineStr">
        <is>
          <t>Generado 2026-10-13 06:06 (hora del centro de México)</t>
        </is>
      </c>
    </row>
    <row r="3">
      <c r="A3" s="19" t="inlineStr">
        <is>
          <t>Estado</t>
        </is>
      </c>
      <c r="B3" s="19" t="inlineStr">
        <is>
          <t>Puntos</t>
        </is>
      </c>
    </row>
    <row r="4">
      <c r="A4" s="20" t="inlineStr">
        <is>
          <t>Abierto</t>
        </is>
      </c>
      <c r="B4" s="20">
        <f>COUNTIF('Puntos abiertos'!$J$2:$J$29,A4)</f>
        <v/>
      </c>
    </row>
    <row r="5">
      <c r="A5" s="20" t="inlineStr">
        <is>
          <t>Requiere decisión</t>
        </is>
      </c>
      <c r="B5" s="20">
        <f>COUNTIF('Puntos abiertos'!$J$2:$J$29,A5)</f>
        <v/>
      </c>
    </row>
    <row r="6">
      <c r="A6" s="20" t="inlineStr">
        <is>
          <t>En proceso</t>
        </is>
      </c>
      <c r="B6" s="20">
        <f>COUNTIF('Puntos abiertos'!$J$2:$J$29,A6)</f>
        <v/>
      </c>
    </row>
    <row r="7">
      <c r="A7" s="20" t="inlineStr">
        <is>
          <t>Corregido - por auditar</t>
        </is>
      </c>
      <c r="B7" s="20">
        <f>COUNTIF('Puntos abiertos'!$J$2:$J$29,A7)</f>
        <v/>
      </c>
    </row>
    <row r="8">
      <c r="A8" s="20" t="inlineStr">
        <is>
          <t>Cerrado - auditado</t>
        </is>
      </c>
      <c r="B8" s="20">
        <f>COUNTIF('Puntos abiertos'!$J$2:$J$29,A8)</f>
        <v/>
      </c>
    </row>
    <row r="9">
      <c r="A9" s="20" t="inlineStr">
        <is>
          <t>Reabierto</t>
        </is>
      </c>
      <c r="B9" s="20">
        <f>COUNTIF('Puntos abiertos'!$J$2:$J$29,A9)</f>
        <v/>
      </c>
    </row>
    <row r="10">
      <c r="A10" s="20" t="inlineStr">
        <is>
          <t>Aceptado sin cambio</t>
        </is>
      </c>
      <c r="B10" s="20">
        <f>COUNTIF('Puntos abiertos'!$J$2:$J$29,A10)</f>
        <v/>
      </c>
    </row>
    <row r="11">
      <c r="A11" s="20" t="inlineStr">
        <is>
          <t>Cerrado - depuración</t>
        </is>
      </c>
      <c r="B11" s="20">
        <f>COUNTIF('Puntos abiertos'!$J$2:$J$29,A11)</f>
        <v/>
      </c>
    </row>
    <row r="12">
      <c r="A12" s="20" t="inlineStr">
        <is>
          <t>No aplica</t>
        </is>
      </c>
      <c r="B12" s="20">
        <f>COUNTIF('Puntos abiertos'!$J$2:$J$29,A12)</f>
        <v/>
      </c>
    </row>
    <row r="13">
      <c r="A13" s="20" t="inlineStr">
        <is>
          <t>Sin acción - documentado</t>
        </is>
      </c>
      <c r="B13" s="20">
        <f>COUNTIF('Puntos abiertos'!$J$2:$J$29,A13)</f>
        <v/>
      </c>
    </row>
    <row r="14">
      <c r="A14" s="20" t="inlineStr">
        <is>
          <t>Se cierra con otro punto</t>
        </is>
      </c>
      <c r="B14" s="20">
        <f>COUNTIF('Puntos abiertos'!$J$2:$J$29,A14)</f>
        <v/>
      </c>
    </row>
    <row r="15">
      <c r="A15" s="21" t="inlineStr">
        <is>
          <t>Total</t>
        </is>
      </c>
      <c r="B15" s="21">
        <f>SUM(B4:B14)</f>
        <v/>
      </c>
    </row>
    <row r="17">
      <c r="A17" s="19" t="inlineStr">
        <is>
          <t>Severidad</t>
        </is>
      </c>
      <c r="B17" s="19" t="inlineStr">
        <is>
          <t>Total</t>
        </is>
      </c>
      <c r="C17" s="19" t="inlineStr">
        <is>
          <t>Pendientes</t>
        </is>
      </c>
    </row>
    <row r="18">
      <c r="A18" s="20" t="inlineStr">
        <is>
          <t>Crítico</t>
        </is>
      </c>
      <c r="B18" s="20">
        <f>COUNTIF('Puntos abiertos'!$C$2:$C$29,A18)</f>
        <v/>
      </c>
      <c r="C18" s="20">
        <f>COUNTIFS('Puntos abiertos'!$C$2:$C$29,A18,'Puntos abiertos'!$J$2:$J$29,"Abierto")+COUNTIFS('Puntos abiertos'!$C$2:$C$29,A18,'Puntos abiertos'!$J$2:$J$29,"Requiere decisión")+COUNTIFS('Puntos abiertos'!$C$2:$C$29,A18,'Puntos abiertos'!$J$2:$J$29,"En proceso")+COUNTIFS('Puntos abiertos'!$C$2:$C$29,A18,'Puntos abiertos'!$J$2:$J$29,"Corregido - por auditar")+COUNTIFS('Puntos abiertos'!$C$2:$C$29,A18,'Puntos abiertos'!$J$2:$J$29,"Reabierto")</f>
        <v/>
      </c>
    </row>
    <row r="19">
      <c r="A19" s="20" t="inlineStr">
        <is>
          <t>Alto</t>
        </is>
      </c>
      <c r="B19" s="20">
        <f>COUNTIF('Puntos abiertos'!$C$2:$C$29,A19)</f>
        <v/>
      </c>
      <c r="C19" s="20">
        <f>COUNTIFS('Puntos abiertos'!$C$2:$C$29,A19,'Puntos abiertos'!$J$2:$J$29,"Abierto")+COUNTIFS('Puntos abiertos'!$C$2:$C$29,A19,'Puntos abiertos'!$J$2:$J$29,"Requiere decisión")+COUNTIFS('Puntos abiertos'!$C$2:$C$29,A19,'Puntos abiertos'!$J$2:$J$29,"En proceso")+COUNTIFS('Puntos abiertos'!$C$2:$C$29,A19,'Puntos abiertos'!$J$2:$J$29,"Corregido - por auditar")+COUNTIFS('Puntos abiertos'!$C$2:$C$29,A19,'Puntos abiertos'!$J$2:$J$29,"Reabierto")</f>
        <v/>
      </c>
    </row>
    <row r="20">
      <c r="A20" s="20" t="inlineStr">
        <is>
          <t>Medio</t>
        </is>
      </c>
      <c r="B20" s="20">
        <f>COUNTIF('Puntos abiertos'!$C$2:$C$29,A20)</f>
        <v/>
      </c>
      <c r="C20" s="20">
        <f>COUNTIFS('Puntos abiertos'!$C$2:$C$29,A20,'Puntos abiertos'!$J$2:$J$29,"Abierto")+COUNTIFS('Puntos abiertos'!$C$2:$C$29,A20,'Puntos abiertos'!$J$2:$J$29,"Requiere decisión")+COUNTIFS('Puntos abiertos'!$C$2:$C$29,A20,'Puntos abiertos'!$J$2:$J$29,"En proceso")+COUNTIFS('Puntos abiertos'!$C$2:$C$29,A20,'Puntos abiertos'!$J$2:$J$29,"Corregido - por auditar")+COUNTIFS('Puntos abiertos'!$C$2:$C$29,A20,'Puntos abiertos'!$J$2:$J$29,"Reabierto")</f>
        <v/>
      </c>
    </row>
    <row r="21">
      <c r="A21" s="20" t="inlineStr">
        <is>
          <t>Bajo</t>
        </is>
      </c>
      <c r="B21" s="20">
        <f>COUNTIF('Puntos abiertos'!$C$2:$C$29,A21)</f>
        <v/>
      </c>
      <c r="C21" s="20">
        <f>COUNTIFS('Puntos abiertos'!$C$2:$C$29,A21,'Puntos abiertos'!$J$2:$J$29,"Abierto")+COUNTIFS('Puntos abiertos'!$C$2:$C$29,A21,'Puntos abiertos'!$J$2:$J$29,"Requiere decisión")+COUNTIFS('Puntos abiertos'!$C$2:$C$29,A21,'Puntos abiertos'!$J$2:$J$29,"En proceso")+COUNTIFS('Puntos abiertos'!$C$2:$C$29,A21,'Puntos abiertos'!$J$2:$J$29,"Corregido - por auditar")+COUNTIFS('Puntos abiertos'!$C$2:$C$29,A21,'Puntos abiertos'!$J$2:$J$29,"Reabierto")</f>
        <v/>
      </c>
    </row>
    <row r="23">
      <c r="A23" s="19" t="inlineStr">
        <is>
          <t>Origen</t>
        </is>
      </c>
      <c r="B23" s="19" t="inlineStr">
        <is>
          <t>Total</t>
        </is>
      </c>
      <c r="C23" s="19" t="inlineStr">
        <is>
          <t>Pendientes</t>
        </is>
      </c>
    </row>
    <row r="24">
      <c r="A24" s="20" t="inlineStr">
        <is>
          <t>Gestamp</t>
        </is>
      </c>
      <c r="B24" s="20">
        <f>COUNTIF('Puntos abiertos'!$B$2:$B$29,"Gestamp*")</f>
        <v/>
      </c>
      <c r="C24" s="20">
        <f>COUNTIFS('Puntos abiertos'!$B$2:$B$29,"Gestamp*",'Puntos abiertos'!$J$2:$J$29,"Abierto")+COUNTIFS('Puntos abiertos'!$B$2:$B$29,"Gestamp*",'Puntos abiertos'!$J$2:$J$29,"Requiere decisión")+COUNTIFS('Puntos abiertos'!$B$2:$B$29,"Gestamp*",'Puntos abiertos'!$J$2:$J$29,"En proceso")+COUNTIFS('Puntos abiertos'!$B$2:$B$29,"Gestamp*",'Puntos abiertos'!$J$2:$J$29,"Corregido - por auditar")+COUNTIFS('Puntos abiertos'!$B$2:$B$29,"Gestamp*",'Puntos abiertos'!$J$2:$J$29,"Reabierto")</f>
        <v/>
      </c>
    </row>
    <row r="25">
      <c r="A25" s="20" t="inlineStr">
        <is>
          <t>Ethos</t>
        </is>
      </c>
      <c r="B25" s="20">
        <f>COUNTIF('Puntos abiertos'!$B$2:$B$29,"Ethos*")</f>
        <v/>
      </c>
      <c r="C25" s="20">
        <f>COUNTIFS('Puntos abiertos'!$B$2:$B$29,"Ethos*",'Puntos abiertos'!$J$2:$J$29,"Abierto")+COUNTIFS('Puntos abiertos'!$B$2:$B$29,"Ethos*",'Puntos abiertos'!$J$2:$J$29,"Requiere decisión")+COUNTIFS('Puntos abiertos'!$B$2:$B$29,"Ethos*",'Puntos abiertos'!$J$2:$J$29,"En proceso")+COUNTIFS('Puntos abiertos'!$B$2:$B$29,"Ethos*",'Puntos abiertos'!$J$2:$J$29,"Corregido - por auditar")+COUNTIFS('Puntos abiertos'!$B$2:$B$29,"Ethos*",'Puntos abiertos'!$J$2:$J$29,"Reabierto")</f>
        <v/>
      </c>
    </row>
    <row r="26">
      <c r="A26" s="20" t="inlineStr">
        <is>
          <t>Calvin (Ethos)</t>
        </is>
      </c>
      <c r="B26" s="20">
        <f>COUNTIF('Puntos abiertos'!$B$2:$B$29,"Calvin*")</f>
        <v/>
      </c>
      <c r="C26" s="20">
        <f>COUNTIFS('Puntos abiertos'!$B$2:$B$29,"Calvin*",'Puntos abiertos'!$J$2:$J$29,"Abierto")+COUNTIFS('Puntos abiertos'!$B$2:$B$29,"Calvin*",'Puntos abiertos'!$J$2:$J$29,"Requiere decisión")+COUNTIFS('Puntos abiertos'!$B$2:$B$29,"Calvin*",'Puntos abiertos'!$J$2:$J$29,"En proceso")+COUNTIFS('Puntos abiertos'!$B$2:$B$29,"Calvin*",'Puntos abiertos'!$J$2:$J$29,"Corregido - por auditar")+COUNTIFS('Puntos abiertos'!$B$2:$B$29,"Calvin*",'Puntos abiertos'!$J$2:$J$29,"Reabierto")</f>
        <v/>
      </c>
    </row>
    <row r="28">
      <c r="A28" s="18"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0" customWidth="1" min="1" max="1"/>
  </cols>
  <sheetData>
    <row r="1">
      <c r="A1" s="22" t="inlineStr">
        <is>
          <t>Esta lista: puntos de Gestamp para el buy-off</t>
        </is>
      </c>
    </row>
    <row r="2">
      <c r="A2" s="23" t="inlineStr">
        <is>
          <t>Los 22 puntos de la revisión de Gestamp del 2026-10-02 (G01 a G22, Origen "Gestamp #n", fondo azul, texto original en la columna Punto) y los puntos de Ethos que hacen falta para cerrarlos (Origen "Ethos, para Gnn"). Es lo que Gestamp audita para el buy-off: esta lista va primero.</t>
        </is>
      </c>
    </row>
    <row r="3">
      <c r="A3" s="23" t="inlineStr">
        <is>
          <t>Los demás puntos de Ethos están en la otra lista (R10_Mejora_Puntos): mejora de proceso, no son condición del buy-off.</t>
        </is>
      </c>
    </row>
    <row r="4">
      <c r="A4" s="23" t="inlineStr"/>
    </row>
    <row r="5">
      <c r="A5" s="22" t="inlineStr">
        <is>
          <t>Cómo usar esta lista</t>
        </is>
      </c>
    </row>
    <row r="6">
      <c r="A6" s="23" t="inlineStr">
        <is>
          <t>1. Trabaja los puntos en el programa del robot. Respeta docs/CONVENTIONS.md del repositorio: comentarios en inglés con la señal nombrada ($OUT[n] nombre), sin código comentado, sin reabrir inline forms que tengan líneas escritas a mano.</t>
        </is>
      </c>
    </row>
    <row r="7">
      <c r="A7" s="23" t="inlineStr">
        <is>
          <t>2. En la hoja "Puntos abiertos" llena SOLO las columnas amarillas de los puntos que trabajaste: Estado, Qué cambió el programador, Módulos modificados, Evidencia / prueba en celda, Fecha programador.</t>
        </is>
      </c>
    </row>
    <row r="8">
      <c r="A8" s="23" t="inlineStr">
        <is>
          <t>3. Estado: pon "En proceso" si empezaste y no está listo, o "Corregido - por auditar" si el cambio está hecho y probado. No pongas Cerrado: lo pone la auditoría.</t>
        </is>
      </c>
    </row>
    <row r="9">
      <c r="A9" s="23" t="inlineStr">
        <is>
          <t>4. La evidencia es lo que pide el criterio de cierre: prueba en celda con fecha y resultado, valor leído en el smartPAD, documento de Gestamp. Sin evidencia el punto se reabre.</t>
        </is>
      </c>
    </row>
    <row r="10">
      <c r="A10" s="23" t="inlineStr">
        <is>
          <t>5. Al final del día saca un respaldo completo del robot (Archive → All), nómbralo 658424_AAAA-MM-DD_HHMM.zip con la hora en que lo sacaste, y envíalo junto con las dos listas (R10_Gestamp_Puntos y R10_Mejora_Puntos), cada una guardada con la fecha y hora del día. No borres filas ni cambies las columnas blancas o grises.</t>
        </is>
      </c>
    </row>
    <row r="11">
      <c r="A11" s="23" t="inlineStr"/>
    </row>
    <row r="12">
      <c r="A12" s="22" t="inlineStr">
        <is>
          <t>Ejemplo de una fila llenada (formato esperado)</t>
        </is>
      </c>
    </row>
    <row r="13">
      <c r="A13" s="23" t="inlineStr">
        <is>
          <t>Estado: Corregido - por auditar</t>
        </is>
      </c>
    </row>
    <row r="14">
      <c r="A14" s="23" t="inlineStr">
        <is>
          <t>Qué cambió el programador: style1app1opt1..3: espera supervisada antes del LIN de aproximación (gun open LPT &gt; 120000, $IN[466], $IN[482], NOT $IN[470]) con $TIMER[21] 3 s, mensaje y do004ProcessFault. PRELOAD paso 20 ahora espera $IN[482].</t>
        </is>
      </c>
    </row>
    <row r="15">
      <c r="A15" s="23" t="inlineStr">
        <is>
          <t>Módulos modificados: style1app1opt1.src ... style1app1opt3.src, PRELOAD.src</t>
        </is>
      </c>
    </row>
    <row r="16">
      <c r="A16" s="23" t="inlineStr">
        <is>
          <t>Evidencia / prueba en celda: 2026-10-06, T1 50 %: clamp cerrado a mano, el robot se detuvo antes de P22 con mensaje; con todo abierto el ciclo siguió normal. 3 ciclos en automático OK.</t>
        </is>
      </c>
    </row>
    <row r="17">
      <c r="A17" s="23" t="inlineStr">
        <is>
          <t>Fecha programador: 2026-10-06</t>
        </is>
      </c>
    </row>
    <row r="18">
      <c r="A18" s="23" t="inlineStr"/>
    </row>
    <row r="19">
      <c r="A19" s="22" t="inlineStr">
        <is>
          <t>Base</t>
        </is>
      </c>
    </row>
    <row r="20">
      <c r="A20" s="23"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1">
      <c r="A21" s="23" t="inlineStr">
        <is>
          <t>Fila completa en verde: punto cerrado (Cerrado, Aceptado sin cambio, No aplica, Sin acción o Se cierra con otro punto), aunque sea crítico. No hay que hacer nada en esas filas.</t>
        </is>
      </c>
    </row>
    <row r="22">
      <c r="A22" s="23" t="inlineStr">
        <is>
          <t>Las anotaciones que Edgar acuerda con el programador van en la columna "Qué cambió el programador".</t>
        </is>
      </c>
    </row>
    <row r="23">
      <c r="A23" s="23" t="inlineStr">
        <is>
          <t>Estándar: no se pide más de lo que hace el respaldo de Gestamp NUT07_10R1 (ver la Nota auditoría de cada punto).</t>
        </is>
      </c>
    </row>
    <row r="24">
      <c r="A24" s="23" t="inlineStr"/>
    </row>
    <row r="25">
      <c r="A25" s="22" t="inlineStr">
        <is>
          <t>Estados</t>
        </is>
      </c>
    </row>
    <row r="26">
      <c r="A26" s="20" t="inlineStr">
        <is>
          <t>Abierto: Pendiente de trabajar.</t>
        </is>
      </c>
    </row>
    <row r="27">
      <c r="A27" s="20" t="inlineStr">
        <is>
          <t>Requiere decisión: Falta información o decisión (Gestamp, seguridad, Ethos) antes de programar.</t>
        </is>
      </c>
    </row>
    <row r="28">
      <c r="A28" s="20" t="inlineStr">
        <is>
          <t>En proceso: Lo pone el programador: trabajo empezado.</t>
        </is>
      </c>
    </row>
    <row r="29">
      <c r="A29" s="20" t="inlineStr">
        <is>
          <t>Corregido - por auditar: Lo pone el programador: cambio hecho y probado, pide auditoría.</t>
        </is>
      </c>
    </row>
    <row r="30">
      <c r="A30" s="20" t="inlineStr">
        <is>
          <t>Cerrado - auditado: Lo pone la auditoría: cumple el criterio de cierre en el respaldo.</t>
        </is>
      </c>
    </row>
    <row r="31">
      <c r="A31" s="20" t="inlineStr">
        <is>
          <t>Reabierto: Lo pone la auditoría: no se encontró el cambio o no cumple (ver Nota auditoría).</t>
        </is>
      </c>
    </row>
    <row r="32">
      <c r="A32" s="20" t="inlineStr">
        <is>
          <t>Aceptado sin cambio: Ethos / Gestamp decidieron no corregir; queda la razón.</t>
        </is>
      </c>
    </row>
    <row r="33">
      <c r="A33" s="20" t="inlineStr">
        <is>
          <t>Cerrado - depuración: Resuelto por la depuración del 2026-10-04.</t>
        </is>
      </c>
    </row>
    <row r="34">
      <c r="A34" s="20" t="inlineStr">
        <is>
          <t>No aplica: El punto ya cumple.</t>
        </is>
      </c>
    </row>
    <row r="35">
      <c r="A35" s="20" t="inlineStr">
        <is>
          <t>Sin acción - documentado: Se deja como está; la nota dice cuándo se reabriría.</t>
        </is>
      </c>
    </row>
    <row r="36">
      <c r="A36" s="20" t="inlineStr">
        <is>
          <t>Se cierra con otro punto: Duplica otro punto (columna Depende de); se cierra con él.</t>
        </is>
      </c>
    </row>
    <row r="38">
      <c r="A38" s="24"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5" t="inlineStr">
        <is>
          <t>Fecha auditoría</t>
        </is>
      </c>
      <c r="B1" s="25" t="inlineStr">
        <is>
          <t>Respaldo</t>
        </is>
      </c>
      <c r="C1" s="25" t="inlineStr">
        <is>
          <t>Cerrados</t>
        </is>
      </c>
      <c r="D1" s="25" t="inlineStr">
        <is>
          <t>Reabiertos</t>
        </is>
      </c>
      <c r="E1" s="25" t="inlineStr">
        <is>
          <t>Cambios de código</t>
        </is>
      </c>
      <c r="F1" s="25" t="inlineStr">
        <is>
          <t>Notas</t>
        </is>
      </c>
    </row>
    <row r="2">
      <c r="A2" s="20" t="inlineStr">
        <is>
          <t>2026-10-04</t>
        </is>
      </c>
      <c r="B2" s="20" t="inlineStr">
        <is>
          <t>658424_R10 (versión de oficina, tools/build_archive.py)</t>
        </is>
      </c>
      <c r="C2" s="20" t="n">
        <v>0</v>
      </c>
      <c r="D2" s="20" t="n">
        <v>0</v>
      </c>
      <c r="E2" s="20" t="inlineStr">
        <is>
          <t>12 módulos con cambios de lógica, 8 equivalentes tras renombres, 1 borrado (centerline_loop.src), 2 movidos (Styles/optiones → Styles/Options), 104 idénticos (tools/check_equivalence.py contra la base fb8a4c8)</t>
        </is>
      </c>
      <c r="F2" s="20"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20" t="inlineStr">
        <is>
          <t>2026-10-05</t>
        </is>
      </c>
      <c r="B3" s="20" t="inlineStr">
        <is>
          <t>bmw_03_10_r1.zip (am.ini 2026-10-05 09:43, robot BMW_03_10_R1, serie 658424)</t>
        </is>
      </c>
      <c r="C3" s="20" t="n">
        <v>0</v>
      </c>
      <c r="D3" s="20" t="n">
        <v>0</v>
      </c>
      <c r="E3" s="20" t="inlineStr">
        <is>
          <t>62 archivos cambiados, 7 agregados (GUN_OPEN_CHECK, proyecto WorkVisual BMW-03-10R1_v8), 39 KRL con cambios de código (-230/+1323 líneas) contra el estado auditado (b5a8803)</t>
        </is>
      </c>
      <c r="F3" s="20"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20" t="inlineStr">
        <is>
          <t>2026-10-05</t>
        </is>
      </c>
      <c r="B4" s="20" t="inlineStr">
        <is>
          <t>658424_R10_2026-10-05_0819.zip (versión integrada, armada sobre bmw_03_10_r1.zip)</t>
        </is>
      </c>
      <c r="C4" s="20" t="n">
        <v>0</v>
      </c>
      <c r="D4" s="20" t="n">
        <v>0</v>
      </c>
      <c r="E4" s="20" t="inlineStr">
        <is>
          <t>Contra la depuración fb8a4c8: 26 KRL con cambios de código, 2 módulos nuevos (GUN_OPEN_CHECK.src/.dat), 22 archivos fuera; contra el repositorio: idéntico (308 entradas). audit_backup: 0 FAIL, 0 WARN.</t>
        </is>
      </c>
      <c r="F4" s="20"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20" t="inlineStr">
        <is>
          <t>2026-10-05</t>
        </is>
      </c>
      <c r="B5" s="20" t="inlineStr">
        <is>
          <t>bmw_03_10_r1.zip (am.ini 2026-10-05 14:46)</t>
        </is>
      </c>
      <c r="C5" s="20" t="n">
        <v>0</v>
      </c>
      <c r="D5" s="20" t="n">
        <v>0</v>
      </c>
      <c r="E5" s="20"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20"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20" t="inlineStr">
        <is>
          <t>2026-10-05</t>
        </is>
      </c>
      <c r="B6" s="20" t="inlineStr">
        <is>
          <t>R10_paquete_2026-10-05_1351.zip (versión integrada sobre el respaldo de las 14:46; zip completo 658424_R10_2026-10-05_1351)</t>
        </is>
      </c>
      <c r="C6" s="20" t="n">
        <v>0</v>
      </c>
      <c r="D6" s="20" t="n">
        <v>0</v>
      </c>
      <c r="E6" s="20" t="inlineStr">
        <is>
          <t>Contra el respaldo de las 14:46: 57 programas a reemplazar, 2 a agregar (Styles/Options), 24 a borrar. Contra la depuración fb8a4c8: 38 KRL con cambios de código; audit_backup 0 FAIL, 0 WARN; zip idéntico al repositorio.</t>
        </is>
      </c>
      <c r="F6" s="20"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20" t="inlineStr">
        <is>
          <t>2026-10-07</t>
        </is>
      </c>
      <c r="B7" s="20" t="inlineStr">
        <is>
          <t>R10_paquete_2026-10-07_1341.zip (etapa 1 de tiempo ciclo sobre el respaldo de las 14:46 del 2026-10-05; incluye todo el paquete del 2026-10-05; zip completo 658424_R10_2026-10-07_1340)</t>
        </is>
      </c>
      <c r="C7" s="20" t="n">
        <v>0</v>
      </c>
      <c r="D7" s="20" t="n">
        <v>0</v>
      </c>
      <c r="E7" s="20"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20"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20" t="inlineStr">
        <is>
          <t>2026-10-11</t>
        </is>
      </c>
      <c r="B8" s="20" t="inlineStr">
        <is>
          <t>bmw_03_10_r1.zip del 2026-10-05 14:46 (sin respaldo nuevo): pasa a ser la base, commit 468e29f</t>
        </is>
      </c>
      <c r="C8" s="20" t="n">
        <v>0</v>
      </c>
      <c r="D8" s="20" t="n">
        <v>0</v>
      </c>
      <c r="E8" s="20"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20"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20" t="inlineStr">
        <is>
          <t>2026-10-11</t>
        </is>
      </c>
      <c r="B9" s="20" t="inlineStr">
        <is>
          <t>V431_03_WINDOWS-2CPT70E_BMW_03_10_R1_658424.zip (am.ini 2026-10-10 21:20, robot BMW_03_10_R1, serie 658424, KSS 8.3.29); importado byte por byte en cd17b34</t>
        </is>
      </c>
      <c r="C9" s="20" t="n">
        <v>10</v>
      </c>
      <c r="D9" s="20" t="n">
        <v>0</v>
      </c>
      <c r="E9" s="20"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20"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20" t="inlineStr">
        <is>
          <t>2026-10-12</t>
        </is>
      </c>
      <c r="B10" s="20" t="inlineStr">
        <is>
          <t>BMW_03_WINDOWS-2CPT70E_BMW_03_10_R1_658424.zip (am.ini 2026-10-11 22:32, robot BMW_03_10_R1, serie 658424, KSS 8.3.29); importado byte por byte en 8cb5c7a</t>
        </is>
      </c>
      <c r="C10" s="20" t="n">
        <v>0</v>
      </c>
      <c r="D10" s="20" t="n">
        <v>3</v>
      </c>
      <c r="E10" s="20"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20"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row r="11">
      <c r="A11" s="20" t="inlineStr">
        <is>
          <t>2026-10-13</t>
        </is>
      </c>
      <c r="B11" s="20" t="inlineStr">
        <is>
          <t>BMW_03_WINDOWS-2CPT70E_BMW_03_10_R1_658424.zip (am.ini 2026-10-13 07:32, robot BMW_03_10_R1, serie 658424, KSS 8.3.29); importado byte por byte en 6e70821</t>
        </is>
      </c>
      <c r="C11" s="20" t="n">
        <v>3</v>
      </c>
      <c r="D11" s="20" t="n">
        <v>0</v>
      </c>
      <c r="E11" s="20" t="inlineStr">
        <is>
          <t>Contra su respaldo del 11/10 22:32: 54 archivos cambiados, 3 KRL con cambios de código (-6/+28: GUN_OPEN_LOST, tm_bib.dat, XPOUNCE) y 40 con cambios solo de comentarios (simplificó los comentarios de la versión de oficina y quitó el código comentado). audit_backup: 0 FAIL, 1 WARN.</t>
        </is>
      </c>
      <c r="F11" s="20" t="inlineStr">
        <is>
          <t>Cerrados: G01 y C02 (decisión de Edgar; el nombre queda BMW_03_10_R1) y G02 (capturas del 12/10: herramienta de seguridad EOAT 1 GE4-001 con TCP 0/0/380.8 igual a TOOL_DATA[1]; falta el checklist de aceptación firmado, ítem 40 del workbook). GUN_OPEN_LOST ya no frena con caídas cortas de señal (F01). Sin soldaduras registradas desde el 10/10. Entrega de esperas del PLC obsoleta. Registro en audits/2026-10-13_07-32-17.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2026-10-13T12:06:36Z</dcterms:created>
  <dcterms:modified xsi:type="dcterms:W3CDTF">2026-10-13T12:06:36Z</dcterms:modified>
</cp:coreProperties>
</file>