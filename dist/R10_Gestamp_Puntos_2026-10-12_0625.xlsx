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untos abiertos" sheetId="1" state="visible" r:id="rId1"/>
    <sheet name="Resumen" sheetId="2" state="visible" r:id="rId2"/>
    <sheet name="Instrucciones" sheetId="3" state="visible" r:id="rId3"/>
    <sheet name="Historial" sheetId="4" state="visible" r:id="rId4"/>
  </sheets>
  <definedNames>
    <definedName name="_xlnm._FilterDatabase" localSheetId="0" hidden="1">'Puntos abiertos'!$A$1:$Q$29</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Arial"/>
      <b val="1"/>
      <color rgb="00FFFFFF"/>
      <sz val="9"/>
    </font>
    <font>
      <name val="Arial"/>
      <b val="1"/>
      <color rgb="001F2933"/>
      <sz val="9"/>
    </font>
    <font>
      <name val="Arial"/>
      <color rgb="001F2933"/>
      <sz val="9"/>
    </font>
    <font>
      <name val="Arial"/>
      <color rgb="00A16207"/>
      <sz val="9"/>
    </font>
    <font>
      <name val="Arial"/>
      <color rgb="00C4561D"/>
      <sz val="9"/>
    </font>
    <font>
      <name val="Arial"/>
      <color rgb="0052606D"/>
      <sz val="9"/>
    </font>
    <font>
      <name val="Arial"/>
      <color rgb="009AA5B1"/>
      <sz val="9"/>
    </font>
    <font>
      <name val="Arial"/>
      <b val="1"/>
      <color rgb="001D4E89"/>
      <sz val="12"/>
    </font>
    <font>
      <name val="Arial"/>
      <i val="1"/>
      <color rgb="00616E7C"/>
      <sz val="8"/>
    </font>
    <font>
      <name val="Arial"/>
      <b val="1"/>
      <sz val="9"/>
    </font>
    <font>
      <name val="Arial"/>
      <sz val="9"/>
    </font>
    <font>
      <name val="Arial"/>
      <b val="1"/>
      <color rgb="001D4E89"/>
      <sz val="10"/>
    </font>
    <font>
      <name val="Arial"/>
      <i val="1"/>
      <sz val="9"/>
    </font>
  </fonts>
  <fills count="7">
    <fill>
      <patternFill/>
    </fill>
    <fill>
      <patternFill patternType="gray125"/>
    </fill>
    <fill>
      <patternFill patternType="solid">
        <fgColor rgb="001D4E89"/>
      </patternFill>
    </fill>
    <fill>
      <patternFill patternType="solid">
        <fgColor rgb="00DCEBFA"/>
      </patternFill>
    </fill>
    <fill>
      <patternFill patternType="solid">
        <fgColor rgb="00FFF4C2"/>
      </patternFill>
    </fill>
    <fill>
      <patternFill patternType="solid">
        <fgColor rgb="00E4E7EB"/>
      </patternFill>
    </fill>
    <fill>
      <patternFill patternType="solid">
        <fgColor rgb="00C6EFCE"/>
      </patternFill>
    </fill>
  </fills>
  <borders count="2">
    <border>
      <left/>
      <right/>
      <top/>
      <bottom/>
      <diagonal/>
    </border>
    <border>
      <left style="thin">
        <color rgb="00CBD2D9"/>
      </left>
      <right style="thin">
        <color rgb="00CBD2D9"/>
      </right>
      <top style="thin">
        <color rgb="00CBD2D9"/>
      </top>
      <bottom style="thin">
        <color rgb="00CBD2D9"/>
      </bottom>
    </border>
  </borders>
  <cellStyleXfs count="1">
    <xf numFmtId="0" fontId="0" fillId="0" borderId="0"/>
  </cellStyleXfs>
  <cellXfs count="26">
    <xf numFmtId="0" fontId="0" fillId="0" borderId="0" pivotButton="0" quotePrefix="0" xfId="0"/>
    <xf numFmtId="0" fontId="1" fillId="2" borderId="1" applyAlignment="1" pivotButton="0" quotePrefix="0" xfId="0">
      <alignment vertic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4" fillId="0" borderId="1" applyAlignment="1" pivotButton="0" quotePrefix="0" xfId="0">
      <alignment vertical="top" wrapText="1"/>
    </xf>
    <xf numFmtId="0" fontId="3" fillId="0"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5" fillId="0" borderId="1" applyAlignment="1" pivotButton="0" quotePrefix="0" xfId="0">
      <alignment vertical="top" wrapText="1"/>
    </xf>
    <xf numFmtId="0" fontId="2" fillId="6" borderId="1" applyAlignment="1" pivotButton="0" quotePrefix="0" xfId="0">
      <alignment vertical="top" wrapText="1"/>
    </xf>
    <xf numFmtId="0" fontId="3" fillId="6" borderId="1" applyAlignment="1" pivotButton="0" quotePrefix="0" xfId="0">
      <alignment vertical="top" wrapText="1"/>
    </xf>
    <xf numFmtId="0" fontId="6" fillId="6" borderId="1" applyAlignment="1" pivotButton="0" quotePrefix="0" xfId="0">
      <alignment vertical="top" wrapText="1"/>
    </xf>
    <xf numFmtId="0" fontId="6" fillId="0" borderId="1" applyAlignment="1" pivotButton="0" quotePrefix="0" xfId="0">
      <alignment vertical="top" wrapText="1"/>
    </xf>
    <xf numFmtId="0" fontId="5" fillId="6" borderId="1" applyAlignment="1" pivotButton="0" quotePrefix="0" xfId="0">
      <alignment vertical="top" wrapText="1"/>
    </xf>
    <xf numFmtId="0" fontId="4" fillId="6" borderId="1" applyAlignment="1" pivotButton="0" quotePrefix="0" xfId="0">
      <alignment vertical="top" wrapText="1"/>
    </xf>
    <xf numFmtId="0" fontId="2" fillId="0" borderId="1" applyAlignment="1" pivotButton="0" quotePrefix="0" xfId="0">
      <alignment vertical="top" wrapText="1"/>
    </xf>
    <xf numFmtId="0" fontId="7" fillId="0" borderId="1" applyAlignment="1" pivotButton="0" quotePrefix="0" xfId="0">
      <alignment vertical="top" wrapText="1"/>
    </xf>
    <xf numFmtId="0" fontId="8" fillId="0" borderId="0" pivotButton="0" quotePrefix="0" xfId="0"/>
    <xf numFmtId="0" fontId="9" fillId="0" borderId="0" pivotButton="0" quotePrefix="0" xfId="0"/>
    <xf numFmtId="0" fontId="10" fillId="5" borderId="0" pivotButton="0" quotePrefix="0" xfId="0"/>
    <xf numFmtId="0" fontId="11" fillId="0" borderId="0" pivotButton="0" quotePrefix="0" xfId="0"/>
    <xf numFmtId="0" fontId="10" fillId="0" borderId="0" pivotButton="0" quotePrefix="0" xfId="0"/>
    <xf numFmtId="0" fontId="12" fillId="0" borderId="0" applyAlignment="1" pivotButton="0" quotePrefix="0" xfId="0">
      <alignment vertical="top" wrapText="1"/>
    </xf>
    <xf numFmtId="0" fontId="3" fillId="0" borderId="0" applyAlignment="1" pivotButton="0" quotePrefix="0" xfId="0">
      <alignment vertical="top" wrapText="1"/>
    </xf>
    <xf numFmtId="0" fontId="13" fillId="0" borderId="0" pivotButton="0" quotePrefix="0" xfId="0"/>
    <xf numFmtId="0" fontId="1" fillId="2" borderId="0" pivotButton="0" quotePrefix="0" xfId="0"/>
  </cellXfs>
  <cellStyles count="1">
    <cellStyle name="Normal" xfId="0" builtinId="0" hidden="0"/>
  </cellStyles>
  <dxfs count="1">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Ethos</author>
  </authors>
  <commentList>
    <comment ref="J1" authorId="0" shapeId="0">
      <text>
        <t>El programador solo pone En proceso o Corregido - por auditar. Cerrado lo pone la auditoría.</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Q29"/>
  <sheetViews>
    <sheetView zoomScale="90"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8" customWidth="1" min="3" max="3"/>
    <col width="46" customWidth="1" min="4" max="4"/>
    <col width="18" customWidth="1" min="5" max="5"/>
    <col width="18" customWidth="1" min="6" max="6"/>
    <col width="28" customWidth="1" min="7" max="7"/>
    <col width="70" customWidth="1" min="8" max="8"/>
    <col width="12" customWidth="1" min="9" max="9"/>
    <col width="22" customWidth="1" min="10" max="10"/>
    <col width="50" customWidth="1" min="11" max="11"/>
    <col width="28" customWidth="1" min="12" max="12"/>
    <col width="40" customWidth="1" min="13" max="13"/>
    <col width="13" customWidth="1" min="14" max="14"/>
    <col width="20" customWidth="1" min="15" max="15"/>
    <col width="13" customWidth="1" min="16" max="16"/>
    <col width="50" customWidth="1" min="17" max="17"/>
  </cols>
  <sheetData>
    <row r="1">
      <c r="A1" s="1" t="inlineStr">
        <is>
          <t>ID</t>
        </is>
      </c>
      <c r="B1" s="1" t="inlineStr">
        <is>
          <t>Origen</t>
        </is>
      </c>
      <c r="C1" s="1" t="inlineStr">
        <is>
          <t>Sev.</t>
        </is>
      </c>
      <c r="D1" s="1" t="inlineStr">
        <is>
          <t>Punto</t>
        </is>
      </c>
      <c r="E1" s="1" t="inlineStr">
        <is>
          <t>Tipo</t>
        </is>
      </c>
      <c r="F1" s="1" t="inlineStr">
        <is>
          <t>Responsable</t>
        </is>
      </c>
      <c r="G1" s="1" t="inlineStr">
        <is>
          <t>Módulos</t>
        </is>
      </c>
      <c r="H1" s="1" t="inlineStr">
        <is>
          <t>Criterio de cierre</t>
        </is>
      </c>
      <c r="I1" s="1" t="inlineStr">
        <is>
          <t>Depende de</t>
        </is>
      </c>
      <c r="J1" s="1" t="inlineStr">
        <is>
          <t>Estado</t>
        </is>
      </c>
      <c r="K1" s="1" t="inlineStr">
        <is>
          <t>Qué cambió el programador</t>
        </is>
      </c>
      <c r="L1" s="1" t="inlineStr">
        <is>
          <t>Módulos modificados</t>
        </is>
      </c>
      <c r="M1" s="1" t="inlineStr">
        <is>
          <t>Evidencia / prueba en celda</t>
        </is>
      </c>
      <c r="N1" s="1" t="inlineStr">
        <is>
          <t>Fecha programador</t>
        </is>
      </c>
      <c r="O1" s="1" t="inlineStr">
        <is>
          <t>Resultado auditoría</t>
        </is>
      </c>
      <c r="P1" s="1" t="inlineStr">
        <is>
          <t>Fecha auditoría</t>
        </is>
      </c>
      <c r="Q1" s="1" t="inlineStr">
        <is>
          <t>Nota auditoría</t>
        </is>
      </c>
    </row>
    <row r="2">
      <c r="A2" s="2" t="inlineStr">
        <is>
          <t>G01</t>
        </is>
      </c>
      <c r="B2" s="3" t="inlineStr">
        <is>
          <t>Gestamp #1</t>
        </is>
      </c>
      <c r="C2" s="4" t="inlineStr">
        <is>
          <t>Medio</t>
        </is>
      </c>
      <c r="D2" s="3" t="inlineStr">
        <is>
          <t>Cambiar el nombre del robot
Gestamp: "Robot name needs to change"</t>
        </is>
      </c>
      <c r="E2" s="5" t="inlineStr">
        <is>
          <t>Configuración en celda</t>
        </is>
      </c>
      <c r="F2" s="5" t="inlineStr">
        <is>
          <t>Programador robot (en celda) / Gestamp confirma el formato</t>
        </is>
      </c>
      <c r="G2" s="5" t="inlineStr">
        <is>
          <t>am.ini, C/KRC/Roboter/Rdc/RobotData.xml, $ROBNAME (smartHMI)</t>
        </is>
      </c>
      <c r="H2" s="5" t="inlineStr">
        <is>
          <t>• Formato confirmado por Gestamp por escrito (correo adjunto a la lista).
• En el respaldo, am.ini (RobName) y C/KRC/Roboter/Rdc/RobotData.xml (RobotName) traen el nombre nuevo; el nombre del archivo de respaldo también.
• Si el formato confirmado difiere de BMW-03-10-R1, la línea "; Robot 03-10-R1 (...)" de los encabezados se ajusta igual (C02).</t>
        </is>
      </c>
      <c r="I2" s="5" t="inlineStr">
        <is>
          <t>C02</t>
        </is>
      </c>
      <c r="J2" s="6" t="inlineStr">
        <is>
          <t>Abierto</t>
        </is>
      </c>
      <c r="K2" s="6" t="inlineStr"/>
      <c r="L2" s="6" t="inlineStr"/>
      <c r="M2" s="6" t="inlineStr"/>
      <c r="N2" s="6" t="inlineStr"/>
      <c r="O2" s="7" t="inlineStr">
        <is>
          <t>Estándar Gestamp</t>
        </is>
      </c>
      <c r="P2" s="7" t="inlineStr">
        <is>
          <t>2026-10-11</t>
        </is>
      </c>
      <c r="Q2" s="7" t="inlineStr">
        <is>
          <t>Su robot de referencia se llama NUT07_10R1 (celda 07, estación 10, robot 1); el respaldo Bosch de R20 se llama G65-03-20-R1-PNW1-WC. Hoy el nuestro es BMW_03_10_R1. Por analogía sería NUT03_10R1: confirmar con Gestamp con esos dos ejemplos.</t>
        </is>
      </c>
    </row>
    <row r="3">
      <c r="A3" s="2" t="inlineStr">
        <is>
          <t>G02</t>
        </is>
      </c>
      <c r="B3" s="3" t="inlineStr">
        <is>
          <t>Gestamp #2</t>
        </is>
      </c>
      <c r="C3" s="8" t="inlineStr">
        <is>
          <t>Alto</t>
        </is>
      </c>
      <c r="D3" s="3" t="inlineStr">
        <is>
          <t>Herramienta de seguridad igual al TCP de la herramienta 1
Gestamp: "Safety Tool is not equal to Default TCP"</t>
        </is>
      </c>
      <c r="E3" s="5" t="inlineStr">
        <is>
          <t>Configuración de seguridad</t>
        </is>
      </c>
      <c r="F3" s="5" t="inlineStr">
        <is>
          <t>Programador robot / Seguridad</t>
        </is>
      </c>
      <c r="G3" s="5" t="inlineStr">
        <is>
          <t>C/KRC/Roboter/Config/User/Common/SafetyConfigData.xml, $config.dat (TOOL_DATA[1])</t>
        </is>
      </c>
      <c r="H3" s="5" t="inlineStr">
        <is>
          <t>• Captura de la herramienta de seguridad 1 con el TCP igual a TOOL_DATA[1] del respaldo.
• Checksum nuevo anotado y checklist de aceptación firmado por quien tenga la autorización.</t>
        </is>
      </c>
      <c r="I3" s="5" t="inlineStr">
        <is>
          <t>F42</t>
        </is>
      </c>
      <c r="J3" s="6" t="inlineStr">
        <is>
          <t>Abierto</t>
        </is>
      </c>
      <c r="K3" s="6" t="inlineStr"/>
      <c r="L3" s="6" t="inlineStr"/>
      <c r="M3" s="6" t="inlineStr"/>
      <c r="N3" s="6" t="inlineStr"/>
      <c r="O3" s="7" t="inlineStr">
        <is>
          <t>Estándar Gestamp</t>
        </is>
      </c>
      <c r="P3" s="7" t="inlineStr">
        <is>
          <t>2026-10-11</t>
        </is>
      </c>
      <c r="Q3" s="7" t="inlineStr">
        <is>
          <t>La herramienta de seguridad no se ve en texto en ningún respaldo: sigue la captura del smartHMI.</t>
        </is>
      </c>
    </row>
    <row r="4">
      <c r="A4" s="2" t="inlineStr">
        <is>
          <t>G03</t>
        </is>
      </c>
      <c r="B4" s="3" t="inlineStr">
        <is>
          <t>Gestamp #3</t>
        </is>
      </c>
      <c r="C4" s="8" t="inlineStr">
        <is>
          <t>Alto</t>
        </is>
      </c>
      <c r="D4" s="3" t="inlineStr">
        <is>
          <t>Determinar los datos de carga de la herramienta 1
Gestamp: "Tool 1 is used without Load data determination"</t>
        </is>
      </c>
      <c r="E4" s="5" t="inlineStr">
        <is>
          <t>Prueba en celda</t>
        </is>
      </c>
      <c r="F4" s="5" t="inlineStr">
        <is>
          <t>Programador robot / Puesta en marcha</t>
        </is>
      </c>
      <c r="G4" s="5" t="inlineStr">
        <is>
          <t>$config.dat (LOAD_DATA[1]), KRC/STEU/Mada/$custom.dat ($LDC_CONFIG[1])</t>
        </is>
      </c>
      <c r="H4" s="5" t="inlineStr">
        <is>
          <t>• LOAD_DATA[1] en $config.dat ya no es {M 210, CM {X 270, Y 0, Z 240}, J {105, 105, 105}}: trae masa, centro de masa e inercias determinados.
• Protocolo de Load Data Determination (captura o archivo) con fecha.</t>
        </is>
      </c>
      <c r="I4" s="5" t="inlineStr">
        <is>
          <t>C08, F39, C09</t>
        </is>
      </c>
      <c r="J4" s="6" t="inlineStr">
        <is>
          <t>En proceso</t>
        </is>
      </c>
      <c r="K4" s="6" t="inlineStr"/>
      <c r="L4" s="6" t="inlineStr"/>
      <c r="M4" s="6" t="inlineStr"/>
      <c r="N4" s="6" t="inlineStr"/>
      <c r="O4" s="7" t="inlineStr">
        <is>
          <t>Avance del programador</t>
        </is>
      </c>
      <c r="P4" s="7" t="inlineStr">
        <is>
          <t>2026-10-11</t>
        </is>
      </c>
      <c r="Q4" s="7" t="inlineStr">
        <is>
          <t>Respaldo del 10/10 (versión de oficina del 05/10 cargada + cambios suyos del 06 al 10/10). LOAD_DATA[1] = 67.28 kg con centro de masa (-2.62, 17.93, 219.18) e inercias: ya no es el tecleado de 210 kg. Falta la evidencia de Load Data Determination (captura o protocolo). LOAD_A3_DATA pasó de 30 a 50 kg.</t>
        </is>
      </c>
    </row>
    <row r="5">
      <c r="A5" s="9" t="inlineStr">
        <is>
          <t>G04</t>
        </is>
      </c>
      <c r="B5" s="10" t="inlineStr">
        <is>
          <t>Gestamp #4</t>
        </is>
      </c>
      <c r="C5" s="11" t="inlineStr">
        <is>
          <t>Bajo</t>
        </is>
      </c>
      <c r="D5" s="10" t="inlineStr">
        <is>
          <t>Programa RedRabbit bloqueado: borrado
Gestamp: "Program Red Rabbit() is blocked, might be an unnecessary copy"</t>
        </is>
      </c>
      <c r="E5" s="10" t="inlineStr">
        <is>
          <t>Código</t>
        </is>
      </c>
      <c r="F5" s="10" t="inlineStr">
        <is>
          <t>Programador robot (prueba en celda)</t>
        </is>
      </c>
      <c r="G5" s="10" t="inlineStr">
        <is>
          <t>KRC/R1/Program/Utilities/redrabbit.src, KRC/R1/Program/Utilities/RedRabbit.dat</t>
        </is>
      </c>
      <c r="H5" s="10" t="inlineStr">
        <is>
          <t>• En el respaldo no están KRC/R1/Program/Utilities/redrabbit.src ni RedRabbit.dat (borrados también en el controlador).
• El programa carga sin errores de compilación (captura del navegador del smartPAD sin módulos en rojo). Un ciclo red rabbit (option 12) corre igual que antes de la carga (sus defectos siguen en F19). Anotar fecha.</t>
        </is>
      </c>
      <c r="I5" s="10" t="inlineStr">
        <is>
          <t>G05</t>
        </is>
      </c>
      <c r="J5" s="10" t="inlineStr">
        <is>
          <t>Se cierra con otro punto</t>
        </is>
      </c>
      <c r="K5" s="10" t="inlineStr"/>
      <c r="L5" s="10" t="inlineStr"/>
      <c r="M5" s="10" t="inlineStr"/>
      <c r="N5" s="10" t="inlineStr"/>
      <c r="O5" s="10" t="inlineStr">
        <is>
          <t>Cambio de base</t>
        </is>
      </c>
      <c r="P5" s="10" t="inlineStr">
        <is>
          <t>2026-10-11</t>
        </is>
      </c>
      <c r="Q5" s="10" t="inlineStr">
        <is>
          <t>Base = programa del programador (respaldo del 2026-10-05 14:46). redrabbit.src y RedRabbit.dat siguen en el controlador: son módulos sobrantes y se siguen solo en G05.</t>
        </is>
      </c>
    </row>
    <row r="6">
      <c r="A6" s="2" t="inlineStr">
        <is>
          <t>G05</t>
        </is>
      </c>
      <c r="B6" s="3" t="inlineStr">
        <is>
          <t>Gestamp #5</t>
        </is>
      </c>
      <c r="C6" s="12" t="inlineStr">
        <is>
          <t>Bajo</t>
        </is>
      </c>
      <c r="D6" s="3" t="inlineStr">
        <is>
          <t>Programas sin uso
Gestamp: "Unused programs"</t>
        </is>
      </c>
      <c r="E6" s="5" t="inlineStr">
        <is>
          <t>Código + configuración</t>
        </is>
      </c>
      <c r="F6" s="5" t="inlineStr">
        <is>
          <t>Programador robot / Gestamp controles</t>
        </is>
      </c>
      <c r="G6" s="5" t="inlineStr">
        <is>
          <t>KRC/R1/Program/Centerline/centerline_loop.src, KRC/R1/safetest.src, KRC/R1/Program/MoveToPurge.src, KRC/R1/TP/GLUETECH, 11 módulos borrados por la depuración (tools/cleanup_allowlist)</t>
        </is>
      </c>
      <c r="H6" s="5" t="inlineStr">
        <is>
          <t>• Con la celda probada al 100 %: los módulos sobrantes de la lista ya no están en el respaldo (borrados en el controlador: un restore no borra archivos).
• safetest: decisión de Gestamp anotada en la lista; si se borra, no está en el respaldo; si se queda, su encabezado dice para qué prueba es y quién la usa.
• GlueTech desinstalado: no aparece en la lista de paquetes del smartHMI, y ni KRC/R1/TP/GLUETECH ni Program/MoveToPurge.src están en el respaldo.
• El programa carga sin errores de compilación (captura del navegador del smartPAD sin módulos en rojo). Un ciclo completo en automático sale bien. Anotar fecha.</t>
        </is>
      </c>
      <c r="I6" s="5" t="inlineStr">
        <is>
          <t>G04, C28</t>
        </is>
      </c>
      <c r="J6" s="6" t="inlineStr">
        <is>
          <t>Abierto</t>
        </is>
      </c>
      <c r="K6" s="6" t="inlineStr"/>
      <c r="L6" s="6" t="inlineStr"/>
      <c r="M6" s="6" t="inlineStr"/>
      <c r="N6" s="6" t="inlineStr"/>
      <c r="O6" s="7" t="inlineStr">
        <is>
          <t>Avance del programador</t>
        </is>
      </c>
      <c r="P6" s="7" t="inlineStr">
        <is>
          <t>2026-10-11</t>
        </is>
      </c>
      <c r="Q6" s="7" t="inlineStr">
        <is>
          <t>Respaldo del 10/10 (versión de oficina del 05/10 cargada + cambios suyos del 06 al 10/10). Borró 8 módulos sobrantes (14 archivos). Quedan capchange, electrodechange, redrabbit (no compila) y POUNCE.</t>
        </is>
      </c>
    </row>
    <row r="7">
      <c r="A7" s="2" t="inlineStr">
        <is>
          <t>G06</t>
        </is>
      </c>
      <c r="B7" s="3" t="inlineStr">
        <is>
          <t>Gestamp #6</t>
        </is>
      </c>
      <c r="C7" s="4" t="inlineStr">
        <is>
          <t>Medio</t>
        </is>
      </c>
      <c r="D7" s="3" t="inlineStr">
        <is>
          <t>Cambio de electrodo: confirmación de 0.1 s y sin handshake
Gestamp: "Electrode change confirmation only 0.1 s, no handshake"</t>
        </is>
      </c>
      <c r="E7" s="5" t="inlineStr">
        <is>
          <t>Decisión + código</t>
        </is>
      </c>
      <c r="F7" s="5" t="inlineStr">
        <is>
          <t>Programador robot / Gestamp controles</t>
        </is>
      </c>
      <c r="G7" s="5" t="inlineStr">
        <is>
          <t>KRC/R1/Program/Utilities/gunelectrodechange.src, KRC/R1/cell.src</t>
        </is>
      </c>
      <c r="H7" s="5" t="inlineStr">
        <is>
          <t>• Se cumplen los criterios de F43.</t>
        </is>
      </c>
      <c r="I7" s="5" t="inlineStr">
        <is>
          <t>F43, F12</t>
        </is>
      </c>
      <c r="J7" s="6" t="inlineStr">
        <is>
          <t>Requiere decisión</t>
        </is>
      </c>
      <c r="K7" s="6" t="inlineStr"/>
      <c r="L7" s="6" t="inlineStr"/>
      <c r="M7" s="6" t="inlineStr"/>
      <c r="N7" s="6" t="inlineStr"/>
      <c r="O7" s="7" t="inlineStr">
        <is>
          <t>Estándar Gestamp</t>
        </is>
      </c>
      <c r="P7" s="7" t="inlineStr">
        <is>
          <t>2026-10-11</t>
        </is>
      </c>
      <c r="Q7" s="7" t="inlineStr">
        <is>
          <t>Respaldo del 10/10 (versión de oficina del 05/10 cargada + cambios suyos del 06 al 10/10). sps.sub escribe do111Gun1ElectrodeChange = dipw1_EndOfStepper y el estado del stepper al PLC, y cell.src llama GunElectrodeChange con do111, como el respaldo de Gestamp. Depende de que Gestamp resetee el stepper en el Bosch.</t>
        </is>
      </c>
    </row>
    <row r="8">
      <c r="A8" s="2" t="inlineStr">
        <is>
          <t>G07</t>
        </is>
      </c>
      <c r="B8" s="3" t="inlineStr">
        <is>
          <t>Gestamp #7</t>
        </is>
      </c>
      <c r="C8" s="8" t="inlineStr">
        <is>
          <t>Alto</t>
        </is>
      </c>
      <c r="D8" s="3" t="inlineStr">
        <is>
          <t>Options 1, 2, 7 y 8 de Style_1 llaman el mismo programa
Gestamp: "Multiple options in Style_1 call the same sub-program"</t>
        </is>
      </c>
      <c r="E8" s="5" t="inlineStr">
        <is>
          <t>Decisión Gestamp + código</t>
        </is>
      </c>
      <c r="F8" s="5" t="inlineStr">
        <is>
          <t>Gestamp controles / Programador robot</t>
        </is>
      </c>
      <c r="G8" s="5" t="inlineStr">
        <is>
          <t>KRC/R1/Program/Styles/style_1.src, KRC/R1/Program/Styles/Options/style1opt1.src, KRC/R1/Program/StyleApps/Options/style1app2opt1.src, KRC/R1/Program/StyleApps/Options/style1app2opt2.src</t>
        </is>
      </c>
      <c r="H8" s="5" t="inlineStr">
        <is>
          <t>• Definición de options por escrito de Gestamp.
• Se cumplen los criterios de F02.
• Comentarios del código cambiado según docs/CONVENTIONS.md (inglés, señal con dirección y nombre); ningún encabezado de inline form ni línea dentro de un fold de form cambia sin estar declarado (F32, F21, F31).</t>
        </is>
      </c>
      <c r="I8" s="5" t="inlineStr">
        <is>
          <t>F02</t>
        </is>
      </c>
      <c r="J8" s="6" t="inlineStr">
        <is>
          <t>Requiere decisión</t>
        </is>
      </c>
      <c r="K8" s="6" t="inlineStr"/>
      <c r="L8" s="6" t="inlineStr"/>
      <c r="M8" s="6" t="inlineStr"/>
      <c r="N8" s="6" t="inlineStr"/>
      <c r="O8" s="7" t="inlineStr">
        <is>
          <t>Estándar Gestamp</t>
        </is>
      </c>
      <c r="P8" s="7" t="inlineStr">
        <is>
          <t>2026-10-11</t>
        </is>
      </c>
      <c r="Q8" s="7" t="inlineStr">
        <is>
          <t>Gestamp usa un option por estación de pick (1 = estación 1, 2 = estación 2, 10 = red rabbit), cada uno con su programa Style1OptN. El nuestro manda 1, 2, 7 y 8 a Style1Opt1 (la estación la decide di065/di066) y 12 al red rabbit. Se cambia o lo acepta Gestamp (igual que R20).</t>
        </is>
      </c>
    </row>
    <row r="9">
      <c r="A9" s="9" t="inlineStr">
        <is>
          <t>G08</t>
        </is>
      </c>
      <c r="B9" s="10" t="inlineStr">
        <is>
          <t>Gestamp #8</t>
        </is>
      </c>
      <c r="C9" s="13" t="inlineStr">
        <is>
          <t>Alto</t>
        </is>
      </c>
      <c r="D9" s="10" t="inlineStr">
        <is>
          <t>El ciclo red rabbit no sigue el camino de producción
Gestamp: "Separate Auto-Red Rabbit program that doesn't match production"</t>
        </is>
      </c>
      <c r="E9" s="10" t="inlineStr">
        <is>
          <t>Decisión + código</t>
        </is>
      </c>
      <c r="F9" s="10" t="inlineStr">
        <is>
          <t>Gestamp controles / Programador robot</t>
        </is>
      </c>
      <c r="G9" s="10" t="inlineStr">
        <is>
          <t>KRC/R1/Program/Styles/Options/Style1Opt10AutoRR.src, KRC/R1/Program/StylePicks/Options/style1pick1opt1AutoRR.src, KRC/R1/Program/StyleDrops/Options/style1drop1opt2AutoRR.src</t>
        </is>
      </c>
      <c r="H9" s="10" t="inlineStr">
        <is>
          <t>• Procedimiento red rabbit de Gestamp por escrito.
• Se cumplen los criterios de F19.
• Comentarios del código cambiado según docs/CONVENTIONS.md (inglés, señal con dirección y nombre); ningún encabezado de inline form ni línea dentro de un fold de form cambia sin estar declarado (F32, F21, F31).</t>
        </is>
      </c>
      <c r="I9" s="10" t="inlineStr">
        <is>
          <t>F19, G21</t>
        </is>
      </c>
      <c r="J9" s="10" t="inlineStr">
        <is>
          <t>Aceptado sin cambio</t>
        </is>
      </c>
      <c r="K9" s="10" t="inlineStr"/>
      <c r="L9" s="10" t="inlineStr"/>
      <c r="M9" s="10" t="inlineStr"/>
      <c r="N9" s="10" t="inlineStr"/>
      <c r="O9" s="10" t="inlineStr">
        <is>
          <t>Nota</t>
        </is>
      </c>
      <c r="P9" s="10" t="inlineStr">
        <is>
          <t>2026-10-12</t>
        </is>
      </c>
      <c r="Q9" s="10" t="inlineStr">
        <is>
          <t>Respaldo del 11/10 22:32. Pick red rabbit: ya no pide tuerca; sale por P2 y P1 a 100 % con CONT (antes P16 a 60 %); XAtPick3 +0.5 mm. El encabezado del módulo dice que es el pick de producción llamado por Style1Opt1: corregir el comentario.</t>
        </is>
      </c>
    </row>
    <row r="10">
      <c r="A10" s="9" t="inlineStr">
        <is>
          <t>G09</t>
        </is>
      </c>
      <c r="B10" s="10" t="inlineStr">
        <is>
          <t>Gestamp #9</t>
        </is>
      </c>
      <c r="C10" s="14" t="inlineStr">
        <is>
          <t>Medio</t>
        </is>
      </c>
      <c r="D10" s="10" t="inlineStr">
        <is>
          <t>Pieza en gripper al PLC fijada por programa, no por los sensores
Gestamp: "Part control to PLC is set/reset instead of reflecting the real part controls"</t>
        </is>
      </c>
      <c r="E10" s="10" t="inlineStr">
        <is>
          <t>Decisión + código</t>
        </is>
      </c>
      <c r="F10" s="10" t="inlineStr">
        <is>
          <t>Programador robot / Gestamp controles</t>
        </is>
      </c>
      <c r="G10" s="10" t="inlineStr">
        <is>
          <t>KRC/R1/Program/StylePicks/Options/style1pick1opt1.src, KRC/R1/Program/StylePicks/Options/style1pick1opt2.src, KRC/R1/Program/StylePicks/Options/style1pick1opt1AutoRR.src, KRC/R1/Program/StyleDrops/Options/style1drop1opt1.src, KRC/R1/Program/StyleDrops/Options/style1drop1opt2AutoRR.src, KRC/R1/Program/Utilities/RejectGE4.src, KRC/R1/System/sps.sub</t>
        </is>
      </c>
      <c r="H10" s="10" t="inlineStr">
        <is>
          <t>• $OUT[18] se escribe en un solo lugar, a partir de di253/di254; los inline forms OUT 18 de picks, drops y RejectGE4 ya no están.
• Prueba: quitar la pieza a mano del gripper en T1 → $OUT[18] OFF de inmediato; con la pieza tomada → ON. Anotar fecha.
• Comentarios del código cambiado según docs/CONVENTIONS.md (inglés, señal con dirección y nombre); ningún encabezado de inline form ni línea dentro de un fold de form cambia sin estar declarado (F32, F21, F31).</t>
        </is>
      </c>
      <c r="I10" s="10" t="inlineStr">
        <is>
          <t>F12, C01, C16</t>
        </is>
      </c>
      <c r="J10" s="10" t="inlineStr">
        <is>
          <t>Aceptado sin cambio</t>
        </is>
      </c>
      <c r="K10" s="10" t="inlineStr"/>
      <c r="L10" s="10" t="inlineStr"/>
      <c r="M10" s="10" t="inlineStr"/>
      <c r="N10" s="10" t="inlineStr"/>
      <c r="O10" s="10" t="inlineStr">
        <is>
          <t>Estándar Gestamp</t>
        </is>
      </c>
      <c r="P10" s="10" t="inlineStr">
        <is>
          <t>2026-10-11</t>
        </is>
      </c>
      <c r="Q10" s="10" t="inlineStr">
        <is>
          <t>Gestamp pone y quita $OUT[18] con inline forms OUT en pick, drop y reject; el nuestro igual (picks, drop al conveyor, drop red rabbit y RejectGE4). Aceptado sin cambio (igual que R20); el cierre final lo acepta Gestamp.</t>
        </is>
      </c>
    </row>
    <row r="11">
      <c r="A11" s="9" t="inlineStr">
        <is>
          <t>G10</t>
        </is>
      </c>
      <c r="B11" s="10" t="inlineStr">
        <is>
          <t>Gestamp #10</t>
        </is>
      </c>
      <c r="C11" s="14" t="inlineStr">
        <is>
          <t>Medio</t>
        </is>
      </c>
      <c r="D11" s="10" t="inlineStr">
        <is>
          <t>Comandos de gripper GripperTech en todos los movimientos de gripper
Gestamp: "Gripper commands not used at all times"</t>
        </is>
      </c>
      <c r="E11" s="10" t="inlineStr">
        <is>
          <t>Código + prueba en celda</t>
        </is>
      </c>
      <c r="F11" s="10" t="inlineStr">
        <is>
          <t>Programador robot / Puesta en marcha</t>
        </is>
      </c>
      <c r="G11" s="10" t="inlineStr">
        <is>
          <t>KRC/R1/Program/StylePicks/Options/style1pick1opt1.src, KRC/R1/Program/StylePicks/Options/style1pick1opt2.src, KRC/R1/Program/StylePicks/Options/style1pick1opt1AutoRR.src, KRC/R1/Program/StyleDrops/Options/style1drop1opt1.src, KRC/R1/Program/StyleDrops/Options/style1drop1opt2AutoRR.src, KRC/R1/Program/Utilities/RejectGE4.src, KRC/R1/TP/GripperSpotTech/grp_data.dat, C/KRC/User/TP/Gripper_SpotTech/GripperConfig.xml</t>
        </is>
      </c>
      <c r="H11" s="10" t="inlineStr">
        <is>
          <t>• Se cumplen los criterios de F31 y F33.
• Prueba en el smartPAD: abrir y confirmar (Cmd OK) un form Gripper SET de un pick y el del drop al conveyor sin cambiar nada; en el respaldo siguiente la llamada sigue siendo GRPg_SetStateAndCheck(1, ...) con el mismo estado. Un ciclo completo en automático de estación 1 y de estación 2. Anotar fecha.</t>
        </is>
      </c>
      <c r="I11" s="10" t="inlineStr">
        <is>
          <t>F31, F33</t>
        </is>
      </c>
      <c r="J11" s="10" t="inlineStr">
        <is>
          <t>Se cierra con otro punto</t>
        </is>
      </c>
      <c r="K11" s="10" t="inlineStr"/>
      <c r="L11" s="10" t="inlineStr"/>
      <c r="M11" s="10" t="inlineStr"/>
      <c r="N11" s="10" t="inlineStr"/>
      <c r="O11" s="10" t="inlineStr">
        <is>
          <t>Estándar Gestamp</t>
        </is>
      </c>
      <c r="P11" s="10" t="inlineStr">
        <is>
          <t>2026-10-11</t>
        </is>
      </c>
      <c r="Q11" s="10" t="inlineStr">
        <is>
          <t>Gestamp usa GRPg_SetStateAndCheck / GRPg_Check en pick, drop y reject. El nuestro ya los usa en los 3 picks, el drop al conveyor, el drop red rabbit y RejectGE4, sin salidas de gripper escritas a mano. Queda F31 (el drop red rabbit suelta con el gripper 3) y F33.</t>
        </is>
      </c>
    </row>
    <row r="12">
      <c r="A12" s="9" t="inlineStr">
        <is>
          <t>G11</t>
        </is>
      </c>
      <c r="B12" s="10" t="inlineStr">
        <is>
          <t>Gestamp #11</t>
        </is>
      </c>
      <c r="C12" s="14" t="inlineStr">
        <is>
          <t>Medio</t>
        </is>
      </c>
      <c r="D12" s="10" t="inlineStr">
        <is>
          <t>Sin GOTO ni etiquetas
Gestamp: "Use of Goto labels"</t>
        </is>
      </c>
      <c r="E12" s="10" t="inlineStr">
        <is>
          <t>Código + prueba en celda</t>
        </is>
      </c>
      <c r="F12" s="10" t="inlineStr">
        <is>
          <t>Programador robot (prueba en celda)</t>
        </is>
      </c>
      <c r="G12" s="10" t="inlineStr">
        <is>
          <t>KRC/R1/Program/Centerline/centerline_weld.src, KRC/R1/Program/StyleApps/Options/style1app1opt1.src, KRC/R1/Program/StyleApps/Options/style1app1opt2.src, KRC/R1/Program/StyleApps/Options/style1app1opt3.src, KRC/R1/Program/StyleApps/Options/style1app2opt1.src, KRC/R1/Program/StylePicks/Options/style1pick1opt1.src, KRC/R1/Program/StylePicks/Options/style1pick1opt2.src, KRC/R1/Program/StylePicks/Options/style1pick1opt1AutoRR.src, KRC/R1/Program/Styles/Options/style1opt1.src</t>
        </is>
      </c>
      <c r="H12" s="10" t="inlineStr">
        <is>
          <t>• En el respaldo ningún módulo del integrador (KRC/R1/Program, KRC/R1/cell.src, sps.sub) tiene GOTO ni etiquetas.
• Prueba en celda: un ciclo sin dry cycle de estación 1 y uno de estación 2 (T1 y automático), un rechazo por nut check (option 1), un ciclo red rabbit (option 12), un pick en dry cycle (sin espera de pieza; el ciclo se sigue colgando en la primera weld app por F04, igual que antes) y el timeout de gun cerrado en T1 sin tuerca (HALT, START: vuelve a dar timeout si sigue sin cerrar). Anotar fecha y resultado de cada uno.</t>
        </is>
      </c>
      <c r="I12" s="10" t="inlineStr">
        <is>
          <t>F30, F07</t>
        </is>
      </c>
      <c r="J12" s="10" t="inlineStr">
        <is>
          <t>Cerrado - auditado</t>
        </is>
      </c>
      <c r="K12" s="10" t="inlineStr"/>
      <c r="L12" s="10" t="inlineStr"/>
      <c r="M12" s="10" t="inlineStr"/>
      <c r="N12" s="10" t="inlineStr"/>
      <c r="O12" s="10" t="inlineStr">
        <is>
          <t>Cerrado - auditado</t>
        </is>
      </c>
      <c r="P12" s="10" t="inlineStr">
        <is>
          <t>2026-10-11</t>
        </is>
      </c>
      <c r="Q12" s="10" t="inlineStr">
        <is>
          <t>Respaldo del 10/10 (versión de oficina del 05/10 cargada + cambios suyos del 06 al 10/10). Sin GOTO ni etiquetas en ningún módulo activo (solo quedaban en trigger1-3, que ya borró).</t>
        </is>
      </c>
    </row>
    <row r="13">
      <c r="A13" s="9" t="inlineStr">
        <is>
          <t>G12</t>
        </is>
      </c>
      <c r="B13" s="10" t="inlineStr">
        <is>
          <t>Gestamp #12</t>
        </is>
      </c>
      <c r="C13" s="14" t="inlineStr">
        <is>
          <t>Medio</t>
        </is>
      </c>
      <c r="D13" s="10" t="inlineStr">
        <is>
          <t>Nombres de señal en lugar de números de E/S
Gestamp: "Use of I/O numbers instead of signal names"</t>
        </is>
      </c>
      <c r="E13" s="10" t="inlineStr">
        <is>
          <t>Código + prueba en celda</t>
        </is>
      </c>
      <c r="F13" s="10" t="inlineStr">
        <is>
          <t>Programador robot (prueba en celda)</t>
        </is>
      </c>
      <c r="G13" s="10" t="inlineStr">
        <is>
          <t>KRC/R1/Program/Centerline/centerline_weld.src, KRC/R1/Program/Centerline/PRELOAD.src, KRC/R1/Program/Centerline/CENTERLINE_HOME.src, KRC/R1/System/sps.sub, KRC/R1/TP/AutomationCore/automationcoreroutines.dat, KRC/R1/System/$config.dat</t>
        </is>
      </c>
      <c r="H13" s="10" t="inlineStr">
        <is>
          <t>• En el respaldo ninguna línea ejecutable del integrador fuera de un inline form KUKA usa $IN[n]/$OUT[n] literal (la auditoría lo revisa).
• El programa carga sin errores de compilación (captura del navegador del smartPAD sin módulos en rojo). Un ciclo completo en automático sale bien. Anotar fecha.</t>
        </is>
      </c>
      <c r="I13" s="10" t="inlineStr">
        <is>
          <t>F17, C23, F29</t>
        </is>
      </c>
      <c r="J13" s="10" t="inlineStr">
        <is>
          <t>Cerrado - auditado</t>
        </is>
      </c>
      <c r="K13" s="10" t="inlineStr"/>
      <c r="L13" s="10" t="inlineStr"/>
      <c r="M13" s="10" t="inlineStr"/>
      <c r="N13" s="10" t="inlineStr"/>
      <c r="O13" s="10" t="inlineStr">
        <is>
          <t>Cerrado - auditado</t>
        </is>
      </c>
      <c r="P13" s="10" t="inlineStr">
        <is>
          <t>2026-10-11</t>
        </is>
      </c>
      <c r="Q13" s="10" t="inlineStr">
        <is>
          <t>Respaldo del 10/10 (versión de oficina del 05/10 cargada + cambios suyos del 06 al 10/10). Sin $IN/$OUT con número fuera de inline forms en los módulos activos: el pedestal usa los nombres de la versión de oficina (do498..do505, di466, di467, di470).</t>
        </is>
      </c>
    </row>
    <row r="14">
      <c r="A14" s="9" t="inlineStr">
        <is>
          <t>G13</t>
        </is>
      </c>
      <c r="B14" s="10" t="inlineStr">
        <is>
          <t>Gestamp #13</t>
        </is>
      </c>
      <c r="C14" s="14" t="inlineStr">
        <is>
          <t>Medio</t>
        </is>
      </c>
      <c r="D14" s="10" t="inlineStr">
        <is>
          <t>Código simplificado (nut present en una línea, duplicados fuera)
Gestamp: "Poor programming (10 lines for nut present)"</t>
        </is>
      </c>
      <c r="E14" s="10" t="inlineStr">
        <is>
          <t>Código + prueba en celda</t>
        </is>
      </c>
      <c r="F14" s="10" t="inlineStr">
        <is>
          <t>Programador robot (prueba en celda)</t>
        </is>
      </c>
      <c r="G14" s="10" t="inlineStr">
        <is>
          <t>KRC/R1/Program/StyleApps/Options/style1app2opt1.src, KRC/R1/Program/Centerline/centerline_weld.src, KRC/R1/Program/StylePicks/Options/style1pick1opt1.src, KRC/R1/Program/StylePicks/Options/style1pick1opt2.src, KRC/R1/Program/StylePicks/Options/style1pick1opt1AutoRR.src, KRC/R1/Program/StyleDrops/Options/style1drop1opt1.src, KRC/R1/Program/Utilities/RejectGE4.src</t>
        </is>
      </c>
      <c r="H14" s="10" t="inlineStr">
        <is>
          <t>• Prueba en automático con option 1: 5 ciclos con pieza buena sin rechazo por tuercas; un ciclo con una tuerca faltante (o una pieza red rabbit) termina en RejectGE4; PARTPRESENT1..3 leídos en el display de variables. En cada pick, drop y reject el gripper confirma su estado con GRPg_SetStateAndCheck, sin el GRPg_Check extra. Anotar fecha y resultado.</t>
        </is>
      </c>
      <c r="I14" s="10" t="inlineStr">
        <is>
          <t>F28, F03, F31</t>
        </is>
      </c>
      <c r="J14" s="10" t="inlineStr">
        <is>
          <t>Cerrado - auditado</t>
        </is>
      </c>
      <c r="K14" s="10" t="inlineStr"/>
      <c r="L14" s="10" t="inlineStr"/>
      <c r="M14" s="10" t="inlineStr"/>
      <c r="N14" s="10" t="inlineStr"/>
      <c r="O14" s="10" t="inlineStr">
        <is>
          <t>Cerrado - auditado</t>
        </is>
      </c>
      <c r="P14" s="10" t="inlineStr">
        <is>
          <t>2026-10-11</t>
        </is>
      </c>
      <c r="Q14" s="10" t="inlineStr">
        <is>
          <t>Respaldo del 10/10 (versión de oficina del 05/10 cargada + cambios suyos del 06 al 10/10). Nut check como Gestamp: WAIT SEC 0.2 y después PARTPRESENTn = di227NutPresent1 (style1app2opt1.src:65-68, igual en las 3 tuercas).</t>
        </is>
      </c>
    </row>
    <row r="15">
      <c r="A15" s="9" t="inlineStr">
        <is>
          <t>G14</t>
        </is>
      </c>
      <c r="B15" s="10" t="inlineStr">
        <is>
          <t>Gestamp #14</t>
        </is>
      </c>
      <c r="C15" s="14" t="inlineStr">
        <is>
          <t>Medio</t>
        </is>
      </c>
      <c r="D15" s="10" t="inlineStr">
        <is>
          <t>Revisar gripper vacío antes del comando de gripper
Gestamp: "Gripper opened before the part control check"</t>
        </is>
      </c>
      <c r="E15" s="10" t="inlineStr">
        <is>
          <t>Código + prueba en celda</t>
        </is>
      </c>
      <c r="F15" s="10" t="inlineStr">
        <is>
          <t>Programador robot (prueba en celda)</t>
        </is>
      </c>
      <c r="G15" s="10" t="inlineStr">
        <is>
          <t>KRC/R1/Program/StylePicks/Options/style1pick1opt1.src, KRC/R1/Program/StylePicks/Options/style1pick1opt2.src, KRC/R1/Program/StylePicks/Options/style1pick1opt1AutoRR.src</t>
        </is>
      </c>
      <c r="H15" s="10" t="inlineStr">
        <is>
          <t>• En los tres picks la espera de gripper vacío está antes del primer comando de gripper.
• Prueba en T1: con una pieza en el gripper al iniciar el pick, el robot se queda en la espera sin mover el gripper. Anotar fecha.</t>
        </is>
      </c>
      <c r="I15" s="10" t="inlineStr"/>
      <c r="J15" s="10" t="inlineStr">
        <is>
          <t>Cerrado - auditado</t>
        </is>
      </c>
      <c r="K15" s="10" t="inlineStr"/>
      <c r="L15" s="10" t="inlineStr"/>
      <c r="M15" s="10" t="inlineStr"/>
      <c r="N15" s="10" t="inlineStr"/>
      <c r="O15" s="10" t="inlineStr">
        <is>
          <t>Cerrado - auditado</t>
        </is>
      </c>
      <c r="P15" s="10" t="inlineStr">
        <is>
          <t>2026-10-11</t>
        </is>
      </c>
      <c r="Q15" s="10" t="inlineStr">
        <is>
          <t>Respaldo del 10/10 (versión de oficina del 05/10 cargada + cambios suyos del 06 al 10/10). En los picks la espera de gripper vacío va antes del primer GRPg_SetStateAndCheck (style1pick1opt1.src:37 y :46).</t>
        </is>
      </c>
    </row>
    <row r="16">
      <c r="A16" s="9" t="inlineStr">
        <is>
          <t>G15</t>
        </is>
      </c>
      <c r="B16" s="10" t="inlineStr">
        <is>
          <t>Gestamp #15</t>
        </is>
      </c>
      <c r="C16" s="11" t="inlineStr">
        <is>
          <t>Bajo</t>
        </is>
      </c>
      <c r="D16" s="10" t="inlineStr">
        <is>
          <t>Nombres, variables y comentarios en inglés
Gestamp: "Names, variables and comments not in English"</t>
        </is>
      </c>
      <c r="E16" s="10" t="inlineStr">
        <is>
          <t>Código</t>
        </is>
      </c>
      <c r="F16" s="10" t="inlineStr">
        <is>
          <t>Programador robot (prueba en celda)</t>
        </is>
      </c>
      <c r="G16" s="10" t="inlineStr">
        <is>
          <t>KRC/R1/TP/AutomationCore/automationcoreroutines.dat, KRC/R1/System/$config.dat, KRC/R1/Program/Centerline/PRELOAD.src, KRC/R1/Program/Centerline/Request_next_nut.src, KRC/R1/Program/StylePicks/Options/style1pick1opt1.src, KRC/R1/Program/StylePicks/Options/style1pick1opt2.src, KRC/R1/Program/StylePicks/Options/style1pick1opt1AutoRR.src, KRC/R1/Program/StyleApps/Options/style1app2opt1.src, KRC/R1/Program/StyleApps/Options/style1app2opt2.src, KRC/R1/Program/Styles/Options/style1opt1.src, KRC/R1/Program/Styles/Options/Style1Opt10AutoRR.src, KRC/R1/Program/Utilities/RejectGE4.src</t>
        </is>
      </c>
      <c r="H16" s="10" t="inlineStr">
        <is>
          <t>• La auditoría no encuentra comentarios en español ni los nombres viejos (NUT_STAR, Judment, Rejeted, di227SensorCamera) en código ejecutable ni en declaraciones del respaldo.
• En el controlador ya no existe la carpeta KRC/R1/Program/Styles/optiones: style1opt1 y Style1Opt10AutoRR están solo en Styles/Options (la carpeta vieja se borra a mano; si queda, hay dos módulos con el mismo nombre).
• El programa carga sin errores de compilación (captura del navegador del smartPAD sin módulos en rojo). Un ciclo completo en automático sale bien. Anotar fecha.</t>
        </is>
      </c>
      <c r="I16" s="10" t="inlineStr">
        <is>
          <t>C26, F36</t>
        </is>
      </c>
      <c r="J16" s="10" t="inlineStr">
        <is>
          <t>Cerrado - auditado</t>
        </is>
      </c>
      <c r="K16" s="10" t="inlineStr"/>
      <c r="L16" s="10" t="inlineStr"/>
      <c r="M16" s="10" t="inlineStr"/>
      <c r="N16" s="10" t="inlineStr"/>
      <c r="O16" s="10" t="inlineStr">
        <is>
          <t>Cerrado - auditado</t>
        </is>
      </c>
      <c r="P16" s="10" t="inlineStr">
        <is>
          <t>2026-10-11</t>
        </is>
      </c>
      <c r="Q16" s="10" t="inlineStr">
        <is>
          <t>Respaldo del 10/10 (versión de oficina del 05/10 cargada + cambios suyos del 06 al 10/10). Nombres corregidos (CameraJudgment, PartRejected, di227NutPresent1, NUT_START). Quedan la carpeta Styles/optiones y el texto del encabezado de dos forms OUT 106: errores de dedo, no impiden el cierre (como NUT_STAR en R20).</t>
        </is>
      </c>
    </row>
    <row r="17">
      <c r="A17" s="9" t="inlineStr">
        <is>
          <t>G16</t>
        </is>
      </c>
      <c r="B17" s="10" t="inlineStr">
        <is>
          <t>Gestamp #16</t>
        </is>
      </c>
      <c r="C17" s="14" t="inlineStr">
        <is>
          <t>Medio</t>
        </is>
      </c>
      <c r="D17" s="10" t="inlineStr">
        <is>
          <t>Constantes para límites de carrera, presiones y tiempos
Gestamp: "NO variables for e.g. stroke limits"</t>
        </is>
      </c>
      <c r="E17" s="10" t="inlineStr">
        <is>
          <t>Código + prueba en celda</t>
        </is>
      </c>
      <c r="F17" s="10" t="inlineStr">
        <is>
          <t>Programador robot (prueba en celda)</t>
        </is>
      </c>
      <c r="G17" s="10" t="inlineStr">
        <is>
          <t>KRC/R1/System/$config.dat, KRC/R1/Program/Centerline/centerline_weld.src, KRC/R1/Program/Centerline/CENTERLINE_HOME.src</t>
        </is>
      </c>
      <c r="H17" s="10" t="inlineStr">
        <is>
          <t>• No quedan esos números en líneas ejecutables de CENTERLINE_WELD / CENTERLINE_HOME.
• Un ciclo de soldadura completo en automático; valores leídos en el display de variables iguales a los del fold CENTERLINE CONTROL. Anotar fecha.</t>
        </is>
      </c>
      <c r="I17" s="10" t="inlineStr">
        <is>
          <t>F16, F44, F41</t>
        </is>
      </c>
      <c r="J17" s="10" t="inlineStr">
        <is>
          <t>Cerrado - auditado</t>
        </is>
      </c>
      <c r="K17" s="10" t="inlineStr"/>
      <c r="L17" s="10" t="inlineStr"/>
      <c r="M17" s="10" t="inlineStr"/>
      <c r="N17" s="10" t="inlineStr"/>
      <c r="O17" s="10" t="inlineStr">
        <is>
          <t>Cerrado - auditado</t>
        </is>
      </c>
      <c r="P17" s="10" t="inlineStr">
        <is>
          <t>2026-10-11</t>
        </is>
      </c>
      <c r="Q17" s="10" t="inlineStr">
        <is>
          <t>Respaldo del 10/10 (versión de oficina del 05/10 cargada + cambios suyos del 06 al 10/10). CENTERLINE_WELD y CENTERLINE_HOME usan las constantes de $config.dat (ventana, tiempos, presiones, programa Bosch).</t>
        </is>
      </c>
    </row>
    <row r="18">
      <c r="A18" s="9" t="inlineStr">
        <is>
          <t>G17</t>
        </is>
      </c>
      <c r="B18" s="10" t="inlineStr">
        <is>
          <t>Gestamp #17</t>
        </is>
      </c>
      <c r="C18" s="11" t="inlineStr">
        <is>
          <t>Bajo</t>
        </is>
      </c>
      <c r="D18" s="10" t="inlineStr">
        <is>
          <t>Lógica Nut_weld_Retry inútil
Gestamp: "Nut_weld_Retry logic useless"</t>
        </is>
      </c>
      <c r="E18" s="10" t="inlineStr">
        <is>
          <t>Código</t>
        </is>
      </c>
      <c r="F18" s="10" t="inlineStr">
        <is>
          <t>Programador robot (prueba en celda)</t>
        </is>
      </c>
      <c r="G18" s="10" t="inlineStr">
        <is>
          <t>KRC/R1/Program/StyleApps/Options/style1app1opt1.src, KRC/R1/Program/StyleApps/Options/style1app1opt2.src, KRC/R1/Program/StyleApps/Options/style1app1opt3.src, KRC/R1/System/$config.dat</t>
        </is>
      </c>
      <c r="H18" s="10" t="inlineStr">
        <is>
          <t>• NUT_WELD_RETRY y RETRY_NUT1 no aparecen en el respaldo.
• Un ciclo completo en automático con las 3 tuercas, sin errores. Anotar fecha.</t>
        </is>
      </c>
      <c r="I18" s="10" t="inlineStr">
        <is>
          <t>F24</t>
        </is>
      </c>
      <c r="J18" s="10" t="inlineStr">
        <is>
          <t>Cerrado - auditado</t>
        </is>
      </c>
      <c r="K18" s="10" t="inlineStr"/>
      <c r="L18" s="10" t="inlineStr"/>
      <c r="M18" s="10" t="inlineStr"/>
      <c r="N18" s="10" t="inlineStr"/>
      <c r="O18" s="10" t="inlineStr">
        <is>
          <t>Cerrado - auditado</t>
        </is>
      </c>
      <c r="P18" s="10" t="inlineStr">
        <is>
          <t>2026-10-11</t>
        </is>
      </c>
      <c r="Q18" s="10" t="inlineStr">
        <is>
          <t>Respaldo del 10/10 (versión de oficina del 05/10 cargada + cambios suyos del 06 al 10/10). El retry ya funciona: si la pistola cierra abajo de la ventana (sin tuerca) no suelda, el robot se queda, pide otra tuerca y suelda otra vez (NUT_WELD_RETRY, tope nNutRetryMax=1, mensaje NUT_RETRY_MSG); como el REPEAT UNTIL de Gestamp con tope. Llevaba 8 reintentos (nNutRetryTotal) en el respaldo.</t>
        </is>
      </c>
    </row>
    <row r="19">
      <c r="A19" s="9" t="inlineStr">
        <is>
          <t>G18</t>
        </is>
      </c>
      <c r="B19" s="10" t="inlineStr">
        <is>
          <t>Gestamp #18</t>
        </is>
      </c>
      <c r="C19" s="13" t="inlineStr">
        <is>
          <t>Alto</t>
        </is>
      </c>
      <c r="D19" s="10" t="inlineStr">
        <is>
          <t>Sin chequeo de soldadura buena
Gestamp: "NO check for Weld OK, just weld finished"</t>
        </is>
      </c>
      <c r="E19" s="10" t="inlineStr">
        <is>
          <t>Código + prueba en celda</t>
        </is>
      </c>
      <c r="F19" s="10" t="inlineStr">
        <is>
          <t>Programador robot / Puesta en marcha</t>
        </is>
      </c>
      <c r="G19" s="10" t="inlineStr">
        <is>
          <t>KRC/R1/Program/Centerline/centerline_weld.src, KRC/R1/Program/Styles/Options/style1opt1.src</t>
        </is>
      </c>
      <c r="H19" s="10" t="inlineStr">
        <is>
          <t>• Se cumplen los criterios de F08.</t>
        </is>
      </c>
      <c r="I19" s="10" t="inlineStr">
        <is>
          <t>F08</t>
        </is>
      </c>
      <c r="J19" s="10" t="inlineStr">
        <is>
          <t>Aceptado sin cambio</t>
        </is>
      </c>
      <c r="K19" s="10" t="inlineStr"/>
      <c r="L19" s="10" t="inlineStr"/>
      <c r="M19" s="10" t="inlineStr"/>
      <c r="N19" s="10" t="inlineStr"/>
      <c r="O19" s="10" t="inlineStr">
        <is>
          <t>Avance del programador</t>
        </is>
      </c>
      <c r="P19" s="10" t="inlineStr">
        <is>
          <t>2026-10-11</t>
        </is>
      </c>
      <c r="Q19" s="10" t="inlineStr">
        <is>
          <t>Respaldo del 10/10 (versión de oficina del 05/10 cargada + cambios suyos del 06 al 10/10). Ahora además lee la falla del Bosch (WELD_COMPLETE_WAIT), igual que R20.</t>
        </is>
      </c>
    </row>
    <row r="20">
      <c r="A20" s="2" t="inlineStr">
        <is>
          <t>G19</t>
        </is>
      </c>
      <c r="B20" s="3" t="inlineStr">
        <is>
          <t>Gestamp #19</t>
        </is>
      </c>
      <c r="C20" s="8" t="inlineStr">
        <is>
          <t>Alto</t>
        </is>
      </c>
      <c r="D20" s="3" t="inlineStr">
        <is>
          <t>Handshake de la tuerca frágil ante selección de bloque, reset y reinicio
Gestamp: "Next_Nut_Ready logic can fail at block selection, reset, reboot"</t>
        </is>
      </c>
      <c r="E20" s="5" t="inlineStr">
        <is>
          <t>Código + prueba en celda</t>
        </is>
      </c>
      <c r="F20" s="5" t="inlineStr">
        <is>
          <t>Programador robot</t>
        </is>
      </c>
      <c r="G20" s="5" t="inlineStr">
        <is>
          <t>KRC/R1/Program/Centerline/PRELOAD.src, KRC/R1/Program/Centerline/Request_next_nut.src, KRC/R1/System/$config.dat, KRC/R1/cell.src, KRC/R1/System/sps.sub, KRC/R1/Program/StyleApps/Options/style1app1opt1.src, KRC/R1/Program/StyleApps/Options/style1app1opt2.src, KRC/R1/Program/StyleApps/Options/style1app1opt3.src, KRC/R1/Program/StylePicks/Options/style1pick1opt1.src, KRC/R1/Program/StylePicks/Options/style1pick1opt2.src</t>
        </is>
      </c>
      <c r="H20" s="5" t="inlineStr">
        <is>
          <t>• Se cumplen los criterios de F38 y F14.</t>
        </is>
      </c>
      <c r="I20" s="5" t="inlineStr">
        <is>
          <t>F38, F14</t>
        </is>
      </c>
      <c r="J20" s="6" t="inlineStr">
        <is>
          <t>Abierto</t>
        </is>
      </c>
      <c r="K20" s="6" t="inlineStr"/>
      <c r="L20" s="6" t="inlineStr"/>
      <c r="M20" s="6" t="inlineStr"/>
      <c r="N20" s="6" t="inlineStr"/>
      <c r="O20" s="7" t="inlineStr">
        <is>
          <t>Alta (Gestamp)</t>
        </is>
      </c>
      <c r="P20" s="7" t="inlineStr">
        <is>
          <t>2026-10-04</t>
        </is>
      </c>
      <c r="Q20" s="7" t="inlineStr">
        <is>
          <t>Punto 19 de la revisión de Gestamp del 2026-10-02 (BMW-03-10R1).</t>
        </is>
      </c>
    </row>
    <row r="21">
      <c r="A21" s="9" t="inlineStr">
        <is>
          <t>G20</t>
        </is>
      </c>
      <c r="B21" s="10" t="inlineStr">
        <is>
          <t>Gestamp #20</t>
        </is>
      </c>
      <c r="C21" s="13" t="inlineStr">
        <is>
          <t>Alto</t>
        </is>
      </c>
      <c r="D21" s="10" t="inlineStr">
        <is>
          <t>Request_next_nut y NUT_START fuera de los inline forms
Gestamp: "Change of xP0 deletes Request_next_nut inside inline forms"</t>
        </is>
      </c>
      <c r="E21" s="10" t="inlineStr">
        <is>
          <t>Código + prueba en celda</t>
        </is>
      </c>
      <c r="F21" s="10" t="inlineStr">
        <is>
          <t>Programador robot (prueba en celda)</t>
        </is>
      </c>
      <c r="G21" s="10" t="inlineStr">
        <is>
          <t>KRC/R1/Program/StylePicks/Options/style1pick1opt1.src, KRC/R1/Program/StylePicks/Options/style1pick1opt2.src, KRC/R1/Program/StylePicks/Options/style1pick1opt1AutoRR.src, KRC/R1/Program/StyleApps/Options/style1app1opt1.src, KRC/R1/Program/StyleApps/Options/style1app1opt2.src, KRC/R1/Program/StyleDrops/Options/style1drop1opt2AutoRR.src</t>
        </is>
      </c>
      <c r="H21" s="10" t="inlineStr">
        <is>
          <t>• Ningún fold de inline form contiene líneas escritas a mano (la auditoría lo revisa).
• Prueba: abrir el inline form PTP P12 de style1pick1opt1 y PTP P0 de style1app1opt1 y confirmarlos con Cmd OK sin cambiar nada (sin Touch Up, que reenseña el punto); el TRIGGER sigue antes de cada fold. Después, un ciclo completo en automático: NUT_READY y NEXT_NUT_READY (display de variables) pasan a FALSE y vuelven a TRUE una vez por tuerca (3 preloads por pieza). Anotar fecha.</t>
        </is>
      </c>
      <c r="I21" s="10" t="inlineStr">
        <is>
          <t>F32, F14</t>
        </is>
      </c>
      <c r="J21" s="10" t="inlineStr">
        <is>
          <t>Cerrado - auditado</t>
        </is>
      </c>
      <c r="K21" s="10" t="inlineStr"/>
      <c r="L21" s="10" t="inlineStr"/>
      <c r="M21" s="10" t="inlineStr"/>
      <c r="N21" s="10" t="inlineStr"/>
      <c r="O21" s="10" t="inlineStr">
        <is>
          <t>Cerrado - auditado</t>
        </is>
      </c>
      <c r="P21" s="10" t="inlineStr">
        <is>
          <t>2026-10-11</t>
        </is>
      </c>
      <c r="Q21" s="10" t="inlineStr">
        <is>
          <t>Respaldo del 10/10 (versión de oficina del 05/10 cargada + cambios suyos del 06 al 10/10). El TRIGGER de NUT_START en los picks va antes del fold del movimiento; Request_next_nut es una llamada después de soldar; los borrados del red rabbit quedaron fuera del fold DropOff[2] Reset. En los forms OUT 18/106 queda la misma salida escrita con su nombre (do018Part1InGripper, do106PartRejected): reabrir el form regenera la misma salida (igual que R20). La auditoría lo marca FAIL por no ver $OUT[n]; revisado: no es error.</t>
        </is>
      </c>
    </row>
    <row r="22">
      <c r="A22" s="2" t="inlineStr">
        <is>
          <t>G21</t>
        </is>
      </c>
      <c r="B22" s="3" t="inlineStr">
        <is>
          <t>Gestamp #21</t>
        </is>
      </c>
      <c r="C22" s="8" t="inlineStr">
        <is>
          <t>Alto</t>
        </is>
      </c>
      <c r="D22" s="3" t="inlineStr">
        <is>
          <t>El nut check no funciona para red rabbit
Gestamp: "Style1app2Opt1 will not work for RedRabbit"</t>
        </is>
      </c>
      <c r="E22" s="5" t="inlineStr">
        <is>
          <t>Decisión + código</t>
        </is>
      </c>
      <c r="F22" s="5" t="inlineStr">
        <is>
          <t>Gestamp controles / Programador robot</t>
        </is>
      </c>
      <c r="G22" s="5" t="inlineStr">
        <is>
          <t>KRC/R1/Program/StyleApps/Options/style1app2opt1.src, KRC/R1/Program/StyleApps/Options/style1app2opt2.src, KRC/R1/Program/Styles/Options/Style1Opt10AutoRR.src</t>
        </is>
      </c>
      <c r="H22" s="5" t="inlineStr">
        <is>
          <t>• Red rabbit con la lógica de Gestamp: FAILED si hay cualquier tuerca (OR), PASSED si no hay ninguna.
• do141/do142 ya no se borran en el drop red rabbit (solo en MaintainSystem o donde lo pida el PLC).
• La cámara no escribe un resultado contrario en el red rabbit (Gestamp no la corre ahí).
• Prueba del red rabbit con la pieza red rabbit y con una pieza buena; anotar fecha y lo que ve el PLC.</t>
        </is>
      </c>
      <c r="I22" s="5" t="inlineStr">
        <is>
          <t>F19, G08</t>
        </is>
      </c>
      <c r="J22" s="6" t="inlineStr">
        <is>
          <t>Abierto</t>
        </is>
      </c>
      <c r="K22" s="6" t="inlineStr"/>
      <c r="L22" s="6" t="inlineStr"/>
      <c r="M22" s="6" t="inlineStr"/>
      <c r="N22" s="6" t="inlineStr"/>
      <c r="O22" s="7" t="inlineStr">
        <is>
          <t>Sin cambio</t>
        </is>
      </c>
      <c r="P22" s="7" t="inlineStr">
        <is>
          <t>2026-10-11</t>
        </is>
      </c>
      <c r="Q22" s="7" t="inlineStr">
        <is>
          <t>Respaldo del 10/10 (versión de oficina del 05/10 cargada + cambios suyos del 06 al 10/10). El red rabbit sigue dando FAILED solo con las 3 tuercas (AND, style1app2opt1.src:164) y el drop red rabbit borra do141/do142 (ya fuera del fold).</t>
        </is>
      </c>
    </row>
    <row r="23">
      <c r="A23" s="2" t="inlineStr">
        <is>
          <t>G22</t>
        </is>
      </c>
      <c r="B23" s="3" t="inlineStr">
        <is>
          <t>Gestamp #22</t>
        </is>
      </c>
      <c r="C23" s="8" t="inlineStr">
        <is>
          <t>Alto</t>
        </is>
      </c>
      <c r="D23" s="3" t="inlineStr">
        <is>
          <t>Uso incorrecto de AutomationCore
Gestamp: "Use of AutomationCore is wrong in multiple places"</t>
        </is>
      </c>
      <c r="E23" s="5" t="inlineStr">
        <is>
          <t>Decisión Gestamp + código</t>
        </is>
      </c>
      <c r="F23" s="5" t="inlineStr">
        <is>
          <t>Gestamp controles / Programador robot</t>
        </is>
      </c>
      <c r="G23" s="5" t="inlineStr">
        <is>
          <t>KRC/R1/System/sps.sub, KRC/R1/TP/AutomationCore/automationcoreroutines.src, inline forms AutomationCore, KRC/R1/Program/Utilities/RejectGE4.src, KRC/R1/Program/Styles/Options/style1opt1.src, KRC/R1/cell.src, KRC/R1/Program/masref_user.src</t>
        </is>
      </c>
      <c r="H23" s="5" t="inlineStr">
        <is>
          <t>• Lista de Gestamp recibida y anotada aquí.
• Cada lugar de la lista corregido y auditado.</t>
        </is>
      </c>
      <c r="I23" s="5" t="inlineStr">
        <is>
          <t>F12, C01, F46, F21, F20, C11, C12, C18, C19, C14, F35</t>
        </is>
      </c>
      <c r="J23" s="6" t="inlineStr">
        <is>
          <t>Abierto</t>
        </is>
      </c>
      <c r="K23" s="6" t="inlineStr"/>
      <c r="L23" s="6" t="inlineStr"/>
      <c r="M23" s="6" t="inlineStr"/>
      <c r="N23" s="6" t="inlineStr"/>
      <c r="O23" s="7" t="inlineStr">
        <is>
          <t>Nota</t>
        </is>
      </c>
      <c r="P23" s="7" t="inlineStr">
        <is>
          <t>2026-10-12</t>
        </is>
      </c>
      <c r="Q23" s="7" t="inlineStr">
        <is>
          <t>Respaldo del 11/10 22:32. Desde el 10/10 AutomationCore_BKG está apagado: C01, C19 y C14 reabiertos (lo cerrado el 11/10 suponía el background activo, como en su respaldo del 05/10).</t>
        </is>
      </c>
    </row>
    <row r="24">
      <c r="A24" s="15" t="inlineStr">
        <is>
          <t>F14</t>
        </is>
      </c>
      <c r="B24" s="5" t="inlineStr">
        <is>
          <t>Ethos, para G19 (Calvin #11)</t>
        </is>
      </c>
      <c r="C24" s="4" t="inlineStr">
        <is>
          <t>Medio</t>
        </is>
      </c>
      <c r="D24" s="5" t="inlineStr">
        <is>
          <t>NUT_READY no se consume al soldar; la siguiente tuerca depende solo de TRIGGERs</t>
        </is>
      </c>
      <c r="E24" s="5" t="inlineStr">
        <is>
          <t>Código + prueba en celda</t>
        </is>
      </c>
      <c r="F24" s="5" t="inlineStr">
        <is>
          <t>Programador robot</t>
        </is>
      </c>
      <c r="G24" s="5" t="inlineStr">
        <is>
          <t>KRC/R1/Program/Centerline/centerline_weld.src, KRC/R1/Program/Centerline/PRELOAD.src, KRC/R1/Program/Centerline/Request_next_nut.src, KRC/R1/Program/StyleApps/Options/style1app1opt1.src, KRC/R1/Program/StyleApps/Options/style1app1opt2.src, KRC/R1/Program/StyleApps/Options/style1app1opt3.src, KRC/R1/Program/StylePicks/Options/style1pick1opt1.src, KRC/R1/Program/StylePicks/Options/style1pick1opt2.src, KRC/R1/Program/StylePicks/Options/style1pick1opt1AutoRR.src, KRC/R1/System/$config.dat</t>
        </is>
      </c>
      <c r="H24" s="5" t="inlineStr">
        <is>
          <t>• En CENTERLINE_WELD después de $IN[483] dipw1_WeldComplete, o inmediatamente después de CENTERLINE_WELD() en style1app1opt1..3, existe NUT_READY = FALSE (y la bandera que usen las tuercas 2 y 3) antes de salir del pedestal.
• La petición de las tuercas 2 y 3 es una instrucción en el flujo, fuera de TRIGGER: Request_next_nut() justo después de CENTERLINE_WELD, con la pieza aún en el pedestal (aceptado en F53, como R20). La de la tuerca 1 puede seguir por TRIGGER antes del fold del movimiento del pick (G20).
• En PRELOAD una petición que llega con preload activo o con tuerca cargada sin consumir no arranca otra alimentación.
• Antes de alimentar se confirma pin vacío: por sensor si existe (nombre y dirección), o por estado si se confirma en sitio que no hay sensor; el comentario del paso dice cuál.
• El pick red rabbit no pide preload, o la lista anota por qué sí.
• Prueba en celda: (a) cancelar el ciclo con tuerca precargada y reiniciar desde home: no hay doble tuerca; (b) cancelar después de soldar la tuerca 1 y reiniciar con selección de paso en style1app1opt2: el robot no entra a soldar sin preload nuevo. Anotar fecha y resultado.
• Comentarios del código cambiado según docs/CONVENTIONS.md (inglés, señal con dirección y nombre); ningún encabezado de inline form ni línea dentro de un fold de form cambia sin estar declarado (F32, F21, F31).</t>
        </is>
      </c>
      <c r="I24" s="5" t="inlineStr">
        <is>
          <t>F11, F25, F32, F38</t>
        </is>
      </c>
      <c r="J24" s="6" t="inlineStr">
        <is>
          <t>Abierto</t>
        </is>
      </c>
      <c r="K24" s="6" t="inlineStr"/>
      <c r="L24" s="6" t="inlineStr"/>
      <c r="M24" s="6" t="inlineStr"/>
      <c r="N24" s="6" t="inlineStr"/>
      <c r="O24" s="7" t="inlineStr">
        <is>
          <t>Criterio ajustado</t>
        </is>
      </c>
      <c r="P24" s="7" t="inlineStr">
        <is>
          <t>2026-10-12</t>
        </is>
      </c>
      <c r="Q24" s="7" t="inlineStr">
        <is>
          <t>El criterio de la petición en el flujo se ajusta a lo ya aceptado en G20 (TRIGGER de la tuerca 1 antes del fold) y F53 (petición justo después de soldar): se cumple desde el 10/10. El pick red rabbit ya no pide preload (11/10). Quedan NUT_READY = FALSE al soldar, que una petición repetida no alimente otra tuerca, el pin vacío antes de alimentar y la prueba en celda.</t>
        </is>
      </c>
    </row>
    <row r="25">
      <c r="A25" s="15" t="inlineStr">
        <is>
          <t>F21</t>
        </is>
      </c>
      <c r="B25" s="5" t="inlineStr">
        <is>
          <t>Ethos, para G07</t>
        </is>
      </c>
      <c r="C25" s="4" t="inlineStr">
        <is>
          <t>Medio</t>
        </is>
      </c>
      <c r="D25" s="5" t="inlineStr">
        <is>
          <t>Parámetros ocultos de inline forms AutomationCore no coinciden con la llamada</t>
        </is>
      </c>
      <c r="E25" s="5" t="inlineStr">
        <is>
          <t>Código + prueba en celda</t>
        </is>
      </c>
      <c r="F25" s="5" t="inlineStr">
        <is>
          <t>Programador robot</t>
        </is>
      </c>
      <c r="G25" s="5" t="inlineStr">
        <is>
          <t>KRC/R1/Program/StylePicks/Options/style1pick1opt2.src, KRC/R1/Program/StyleApps/Options/style1app2opt2.src, KRC/R1/Program/StyleDrops/Options/style1drop1opt1.src, KRC/R1/Program/StyleDrops/Options/style1drop1opt2AutoRR.src, KRC/R1/Program/StylePicks/Options/style1pick1opt1.src, KRC/R1/Program/StylePicks/Options/style1pick1opt1AutoRR.src, KRC/R1/Program/StyleApps/Options/style1app2opt1.src</t>
        </is>
      </c>
      <c r="H25" s="5" t="inlineStr">
        <is>
          <t>• En todos los forms de AutomationCore el AC_CmdParam oculto es igual al número de la llamada (convención del respaldo de Gestamp); la auditoría lo revisa.
• Después de corregir, un ciclo de cada estación en T1 sin cambio de pickup, application ni drop-off. Anotar fecha.</t>
        </is>
      </c>
      <c r="I25" s="5" t="inlineStr">
        <is>
          <t>F32</t>
        </is>
      </c>
      <c r="J25" s="6" t="inlineStr">
        <is>
          <t>Abierto</t>
        </is>
      </c>
      <c r="K25" s="6" t="inlineStr"/>
      <c r="L25" s="6" t="inlineStr"/>
      <c r="M25" s="6" t="inlineStr"/>
      <c r="N25" s="6" t="inlineStr"/>
      <c r="O25" s="7" t="inlineStr">
        <is>
          <t>Sin cambio</t>
        </is>
      </c>
      <c r="P25" s="7" t="inlineStr">
        <is>
          <t>2026-10-11</t>
        </is>
      </c>
      <c r="Q25" s="7" t="inlineStr">
        <is>
          <t>Respaldo del 10/10 (versión de oficina del 05/10 cargada + cambios suyos del 06 al 10/10). Siguen 4 forms con AC_CmdParam oculto distinto a la llamada: style1drop1opt1.src:49 AC_DropOffCheck(1) y :108 AC_DropOff(1) con oculto 2; style1pick1opt2.src:34 AC_pickUPCheck(2) y :138 AC_pickUP(2) con oculto 1.</t>
        </is>
      </c>
    </row>
    <row r="26">
      <c r="A26" s="15" t="inlineStr">
        <is>
          <t>F31</t>
        </is>
      </c>
      <c r="B26" s="5" t="inlineStr">
        <is>
          <t>Ethos, para G07 (Calvin #25)</t>
        </is>
      </c>
      <c r="C26" s="4" t="inlineStr">
        <is>
          <t>Medio</t>
        </is>
      </c>
      <c r="D26" s="5" t="inlineStr">
        <is>
          <t>Forms GripperTech: parámetros ocultos de otro gripper; drop red rabbit con el gripper 3</t>
        </is>
      </c>
      <c r="E26" s="5" t="inlineStr">
        <is>
          <t>Código + prueba en celda</t>
        </is>
      </c>
      <c r="F26" s="5" t="inlineStr">
        <is>
          <t>Programador robot / Puesta en marcha</t>
        </is>
      </c>
      <c r="G26" s="5" t="inlineStr">
        <is>
          <t>KRC/R1/Program/StylePicks/Options/style1pick1opt1.src, KRC/R1/Program/StylePicks/Options/style1pick1opt2.src, KRC/R1/Program/StylePicks/Options/style1pick1opt1AutoRR.src, KRC/R1/Program/StyleDrops/Options/style1drop1opt1.src, KRC/R1/Program/StyleDrops/Options/style1drop1opt2AutoRR.src, KRC/R1/Program/Utilities/RejectGE4.src, KRC/R1/TP/GripperSpotTech/grp_data.dat</t>
        </is>
      </c>
      <c r="H26" s="5" t="inlineStr">
        <is>
          <t>• En los módulos listados cada form Gripper SET/CHECK tiene en su línea ;Params el mismo gripper y estado que su llamada (hecho en oficina para picks y drop al conveyor) y no queda GRPg_Check que repita el check del SET anterior.
• style1drop1opt2AutoRR no escribe $OUT[249]/$OUT[250] a mano y no usa forms del gripper 3; ningún módulo de producción usa los grippers 2-4.
• Prueba en el smartPAD: abrir y confirmar (Cmd OK) un form SET de cada módulo; en el respaldo siguiente las llamadas no cambiaron. En T1 sin pieza: con un switch del gripper 1 desconectado el check da su error (estrategia 1) en pick, drop y reject. Anotar fecha.
• Comentarios del código cambiado según docs/CONVENTIONS.md (inglés, señal con dirección y nombre); ningún encabezado de inline form ni línea dentro de un fold de form cambia sin estar declarado (F32, F21, F31).</t>
        </is>
      </c>
      <c r="I26" s="5" t="inlineStr">
        <is>
          <t>F33, F19</t>
        </is>
      </c>
      <c r="J26" s="6" t="inlineStr">
        <is>
          <t>Abierto</t>
        </is>
      </c>
      <c r="K26" s="6" t="inlineStr"/>
      <c r="L26" s="6" t="inlineStr"/>
      <c r="M26" s="6" t="inlineStr"/>
      <c r="N26" s="6" t="inlineStr"/>
      <c r="O26" s="7" t="inlineStr">
        <is>
          <t>Alta (Ethos)</t>
        </is>
      </c>
      <c r="P26" s="7" t="inlineStr">
        <is>
          <t>2026-10-04</t>
        </is>
      </c>
      <c r="Q26" s="7" t="inlineStr">
        <is>
          <t>Revisión Ethos del respaldo 658424 (v431_03_10_r1.zip del 2026-10-02).</t>
        </is>
      </c>
    </row>
    <row r="27">
      <c r="A27" s="15" t="inlineStr">
        <is>
          <t>F38</t>
        </is>
      </c>
      <c r="B27" s="5" t="inlineStr">
        <is>
          <t>Ethos, para G19 (Calvin #11)</t>
        </is>
      </c>
      <c r="C27" s="8" t="inlineStr">
        <is>
          <t>Alto</t>
        </is>
      </c>
      <c r="D27" s="5" t="inlineStr">
        <is>
          <t>Estado de la tuerca no se reinicializa al arrancar, en reset ni después de un reinicio</t>
        </is>
      </c>
      <c r="E27" s="5" t="inlineStr">
        <is>
          <t>Código + prueba en celda</t>
        </is>
      </c>
      <c r="F27" s="5" t="inlineStr">
        <is>
          <t>Programador robot</t>
        </is>
      </c>
      <c r="G27" s="5" t="inlineStr">
        <is>
          <t>KRC/R1/System/$config.dat, KRC/R1/Program/Centerline/PRELOAD.src, KRC/R1/cell.src, KRC/R1/System/sps.sub</t>
        </is>
      </c>
      <c r="H27" s="5" t="inlineStr">
        <is>
          <t>• Existe una rutina de inicialización del estado de la tuerca, llamada desde el USER INIT de sps.sub y desde cell.src antes del primer ciclo (y desde la rutina de F10), que deja NUTCYCLE_ACTIVE = FALSE, NUT_PRELOAD_STEP = 0, STEP*DONE y STEP10_ADV_STARTED en FALSE, NUT_START y NEXT_NUT_REQUEST en FALSE, y NUT_READY / NEXT_NUT_READY a partir de la E/S real.
• La seguridad del ciclo ya no depende del valor inicial declarado en $config.dat.
• Prueba en celda: (a) cortar el ciclo a mitad de un preload y reiniciar el controlador: PRELOAD no retoma el paso y las banderas reflejan el pin; (b) reset del programa con tuerca precargada y sin ella: el siguiente ciclo no suelda sin tuerca ni alimenta una segunda. Anotar fecha y resultado.
• Comentarios del código cambiado según docs/CONVENTIONS.md (inglés, señal con dirección y nombre); ningún encabezado de inline form ni línea dentro de un fold de form cambia sin estar declarado (F32, F21, F31).</t>
        </is>
      </c>
      <c r="I27" s="5" t="inlineStr">
        <is>
          <t>F14, F10, F11, F13</t>
        </is>
      </c>
      <c r="J27" s="6" t="inlineStr">
        <is>
          <t>Abierto</t>
        </is>
      </c>
      <c r="K27" s="6" t="inlineStr"/>
      <c r="L27" s="6" t="inlineStr"/>
      <c r="M27" s="6" t="inlineStr"/>
      <c r="N27" s="6" t="inlineStr"/>
      <c r="O27" s="7" t="inlineStr">
        <is>
          <t>Alta (Calvin)</t>
        </is>
      </c>
      <c r="P27" s="7" t="inlineStr">
        <is>
          <t>2026-10-04</t>
        </is>
      </c>
      <c r="Q27" s="7" t="inlineStr">
        <is>
          <t>Revisión Ethos del respaldo 658424; el punto sale de la lista de Calvin (Calvin #11).</t>
        </is>
      </c>
    </row>
    <row r="28">
      <c r="A28" s="15" t="inlineStr">
        <is>
          <t>F43</t>
        </is>
      </c>
      <c r="B28" s="5" t="inlineStr">
        <is>
          <t>Ethos, para G06 (Calvin #29)</t>
        </is>
      </c>
      <c r="C28" s="4" t="inlineStr">
        <is>
          <t>Medio</t>
        </is>
      </c>
      <c r="D28" s="5" t="inlineStr">
        <is>
          <t>Cambio de electrodo: reset de stepper por pulso de 0.1 s y handshake que no cierra</t>
        </is>
      </c>
      <c r="E28" s="5" t="inlineStr">
        <is>
          <t>Decisión + código</t>
        </is>
      </c>
      <c r="F28" s="5" t="inlineStr">
        <is>
          <t>Programador robot / Gestamp controles</t>
        </is>
      </c>
      <c r="G28" s="5" t="inlineStr">
        <is>
          <t>KRC/R1/Program/Utilities/gunelectrodechange.src, KRC/R1/cell.src</t>
        </is>
      </c>
      <c r="H28" s="5" t="inlineStr">
        <is>
          <t>• Forma de pedir el cambio de electrodo acordada con Gestamp por escrito, y cell.src llama la rutina con esa petición, fuera de ciclo.
• El reset del stepper se confirma con $IN[487] (espera supervisada) en lugar de solo un pulso de 0.1 s.
• do092 y do091 se apagan siempre al terminar, después de que el PLC bajó su petición; ninguna salida del handshake queda en ON.
• Prueba en celda: petición, cambio, confirmación, reset de stepper confirmado y regreso a home. Anotar fecha.
• Comentarios del código cambiado según docs/CONVENTIONS.md (inglés, señal con dirección y nombre); ningún encabezado de inline form ni línea dentro de un fold de form cambia sin estar declarado (F32, F21, F31).</t>
        </is>
      </c>
      <c r="I28" s="5" t="inlineStr">
        <is>
          <t>F12, F15, C20</t>
        </is>
      </c>
      <c r="J28" s="6" t="inlineStr">
        <is>
          <t>Requiere decisión</t>
        </is>
      </c>
      <c r="K28" s="6" t="inlineStr"/>
      <c r="L28" s="6" t="inlineStr"/>
      <c r="M28" s="6" t="inlineStr"/>
      <c r="N28" s="6" t="inlineStr"/>
      <c r="O28" s="7" t="inlineStr">
        <is>
          <t>Estándar Gestamp</t>
        </is>
      </c>
      <c r="P28" s="7" t="inlineStr">
        <is>
          <t>2026-10-11</t>
        </is>
      </c>
      <c r="Q28" s="7" t="inlineStr">
        <is>
          <t>Respaldo del 10/10 (versión de oficina del 05/10 cargada + cambios suyos del 06 al 10/10). Mismo estado que G06.</t>
        </is>
      </c>
    </row>
    <row r="29">
      <c r="A29" s="15" t="inlineStr">
        <is>
          <t>C02</t>
        </is>
      </c>
      <c r="B29" s="5" t="inlineStr">
        <is>
          <t>Ethos, para G01</t>
        </is>
      </c>
      <c r="C29" s="16" t="inlineStr">
        <is>
          <t>-</t>
        </is>
      </c>
      <c r="D29" s="5" t="inlineStr">
        <is>
          <t>Designación BMW-03-10-R1 en los encabezados; confirmar formato con Gestamp</t>
        </is>
      </c>
      <c r="E29" s="5" t="inlineStr">
        <is>
          <t>Información Gestamp</t>
        </is>
      </c>
      <c r="F29" s="5" t="inlineStr">
        <is>
          <t>Ethos (Edgar) / Gestamp controles</t>
        </is>
      </c>
      <c r="G29" s="5" t="inlineStr">
        <is>
          <t>KRC/R1/cell.src, KRC/R1/System/sps.sub, KRC/R1/Program/Styles/style_1.src, KRC/R1/Program/Styles/Options/style1opt1.src, KRC/R1/Program/Styles/Options/Style1Opt10AutoRR.src, 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KRC/R1/Program/StyleDrops/Options/style1drop1opt1.src, KRC/R1/Program/StyleDrops/Options/style1drop1opt2AutoRR.src, KRC/R1/Program/Utilities/RejectGE4.src, KRC/R1/Program/Centerline/PRELOAD.src, KRC/R1/Program/Centerline/Request_next_nut.src, KRC/R1/Program/Centerline/centerline_weld.src, KRC/R1/Program/Centerline/CENTERLINE_HOME.src, KRC/R1/Program/HOME.src, KRC/R1/Program/masref_user.src, KRC/R1/Program/tm_useraction.src, KRC/R1/Program/Utilities/hometopounce.src, KRC/R1/Program/Utilities/pouncetohome.src, KRC/R1/Program/Utilities/hometorepair.src, KRC/R1/Program/Utilities/repairtohome.src, KRC/R1/Program/Utilities/gunelectrodechange.src, KRC/R1/Program/Utilities/closeandcheckallclamps.src, KRC/R1/Program/Utilities/openandcheckallclamps.src, KRC/R1/safetest.src</t>
        </is>
      </c>
      <c r="H29" s="5" t="inlineStr">
        <is>
          <t>• Confirmación escrita de Gestamp del formato, nombre de línea y códigos de dispositivo.
• Los encabezados del respaldo usan ese formato; los módulos nuevos también.</t>
        </is>
      </c>
      <c r="I29" s="5" t="inlineStr"/>
      <c r="J29" s="6" t="inlineStr">
        <is>
          <t>Requiere decisión</t>
        </is>
      </c>
      <c r="K29" s="6" t="inlineStr"/>
      <c r="L29" s="6" t="inlineStr"/>
      <c r="M29" s="6" t="inlineStr"/>
      <c r="N29" s="6" t="inlineStr"/>
      <c r="O29" s="7" t="inlineStr">
        <is>
          <t>Alta (Ethos)</t>
        </is>
      </c>
      <c r="P29" s="7" t="inlineStr">
        <is>
          <t>2026-10-04</t>
        </is>
      </c>
      <c r="Q29" s="7" t="inlineStr">
        <is>
          <t>Revisión Ethos del respaldo 658424 (v431_03_10_r1.zip del 2026-10-02).</t>
        </is>
      </c>
    </row>
  </sheetData>
  <autoFilter ref="A1:Q29"/>
  <conditionalFormatting sqref="A2:Q29">
    <cfRule type="expression" priority="1" dxfId="0" stopIfTrue="1">
      <formula>OR($J2="Cerrado - auditado",$J2="Cerrado - depuración",$J2="Aceptado sin cambio",$J2="No aplica",$J2="Sin acción - documentado",$J2="Se cierra con otro punto")</formula>
    </cfRule>
  </conditionalFormatting>
  <dataValidations count="1">
    <dataValidation sqref="J2:J29" showDropDown="0" showInputMessage="0" showErrorMessage="1" allowBlank="0" errorTitle="Estado" error="Elige un estado de la lista (hoja Instrucciones)." type="list">
      <formula1>"Abierto,Requiere decisión,En proceso,Corregido - por auditar,Cerrado - auditado,Reabierto,Aceptado sin cambio,Cerrado - depuración,No aplica,Sin acción - documentado,Se cierra con otro punto"</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34" customWidth="1" min="1" max="1"/>
    <col width="10" customWidth="1" min="2" max="2"/>
    <col width="12" customWidth="1" min="3" max="3"/>
  </cols>
  <sheetData>
    <row r="1">
      <c r="A1" s="17" t="inlineStr">
        <is>
          <t>Resumen - Puntos de Gestamp para el buy-off</t>
        </is>
      </c>
    </row>
    <row r="2">
      <c r="A2" s="18" t="inlineStr">
        <is>
          <t>Generado 2026-10-12 06:25 (hora del centro de México)</t>
        </is>
      </c>
    </row>
    <row r="3">
      <c r="A3" s="19" t="inlineStr">
        <is>
          <t>Estado</t>
        </is>
      </c>
      <c r="B3" s="19" t="inlineStr">
        <is>
          <t>Puntos</t>
        </is>
      </c>
    </row>
    <row r="4">
      <c r="A4" s="20" t="inlineStr">
        <is>
          <t>Abierto</t>
        </is>
      </c>
      <c r="B4" s="20">
        <f>COUNTIF('Puntos abiertos'!$J$2:$J$29,A4)</f>
        <v/>
      </c>
    </row>
    <row r="5">
      <c r="A5" s="20" t="inlineStr">
        <is>
          <t>Requiere decisión</t>
        </is>
      </c>
      <c r="B5" s="20">
        <f>COUNTIF('Puntos abiertos'!$J$2:$J$29,A5)</f>
        <v/>
      </c>
    </row>
    <row r="6">
      <c r="A6" s="20" t="inlineStr">
        <is>
          <t>En proceso</t>
        </is>
      </c>
      <c r="B6" s="20">
        <f>COUNTIF('Puntos abiertos'!$J$2:$J$29,A6)</f>
        <v/>
      </c>
    </row>
    <row r="7">
      <c r="A7" s="20" t="inlineStr">
        <is>
          <t>Corregido - por auditar</t>
        </is>
      </c>
      <c r="B7" s="20">
        <f>COUNTIF('Puntos abiertos'!$J$2:$J$29,A7)</f>
        <v/>
      </c>
    </row>
    <row r="8">
      <c r="A8" s="20" t="inlineStr">
        <is>
          <t>Cerrado - auditado</t>
        </is>
      </c>
      <c r="B8" s="20">
        <f>COUNTIF('Puntos abiertos'!$J$2:$J$29,A8)</f>
        <v/>
      </c>
    </row>
    <row r="9">
      <c r="A9" s="20" t="inlineStr">
        <is>
          <t>Reabierto</t>
        </is>
      </c>
      <c r="B9" s="20">
        <f>COUNTIF('Puntos abiertos'!$J$2:$J$29,A9)</f>
        <v/>
      </c>
    </row>
    <row r="10">
      <c r="A10" s="20" t="inlineStr">
        <is>
          <t>Aceptado sin cambio</t>
        </is>
      </c>
      <c r="B10" s="20">
        <f>COUNTIF('Puntos abiertos'!$J$2:$J$29,A10)</f>
        <v/>
      </c>
    </row>
    <row r="11">
      <c r="A11" s="20" t="inlineStr">
        <is>
          <t>Cerrado - depuración</t>
        </is>
      </c>
      <c r="B11" s="20">
        <f>COUNTIF('Puntos abiertos'!$J$2:$J$29,A11)</f>
        <v/>
      </c>
    </row>
    <row r="12">
      <c r="A12" s="20" t="inlineStr">
        <is>
          <t>No aplica</t>
        </is>
      </c>
      <c r="B12" s="20">
        <f>COUNTIF('Puntos abiertos'!$J$2:$J$29,A12)</f>
        <v/>
      </c>
    </row>
    <row r="13">
      <c r="A13" s="20" t="inlineStr">
        <is>
          <t>Sin acción - documentado</t>
        </is>
      </c>
      <c r="B13" s="20">
        <f>COUNTIF('Puntos abiertos'!$J$2:$J$29,A13)</f>
        <v/>
      </c>
    </row>
    <row r="14">
      <c r="A14" s="20" t="inlineStr">
        <is>
          <t>Se cierra con otro punto</t>
        </is>
      </c>
      <c r="B14" s="20">
        <f>COUNTIF('Puntos abiertos'!$J$2:$J$29,A14)</f>
        <v/>
      </c>
    </row>
    <row r="15">
      <c r="A15" s="21" t="inlineStr">
        <is>
          <t>Total</t>
        </is>
      </c>
      <c r="B15" s="21">
        <f>SUM(B4:B14)</f>
        <v/>
      </c>
    </row>
    <row r="17">
      <c r="A17" s="19" t="inlineStr">
        <is>
          <t>Severidad</t>
        </is>
      </c>
      <c r="B17" s="19" t="inlineStr">
        <is>
          <t>Total</t>
        </is>
      </c>
      <c r="C17" s="19" t="inlineStr">
        <is>
          <t>Pendientes</t>
        </is>
      </c>
    </row>
    <row r="18">
      <c r="A18" s="20" t="inlineStr">
        <is>
          <t>Crítico</t>
        </is>
      </c>
      <c r="B18" s="20">
        <f>COUNTIF('Puntos abiertos'!$C$2:$C$29,A18)</f>
        <v/>
      </c>
      <c r="C18" s="20">
        <f>COUNTIFS('Puntos abiertos'!$C$2:$C$29,A18,'Puntos abiertos'!$J$2:$J$29,"Abierto")+COUNTIFS('Puntos abiertos'!$C$2:$C$29,A18,'Puntos abiertos'!$J$2:$J$29,"Requiere decisión")+COUNTIFS('Puntos abiertos'!$C$2:$C$29,A18,'Puntos abiertos'!$J$2:$J$29,"En proceso")+COUNTIFS('Puntos abiertos'!$C$2:$C$29,A18,'Puntos abiertos'!$J$2:$J$29,"Corregido - por auditar")+COUNTIFS('Puntos abiertos'!$C$2:$C$29,A18,'Puntos abiertos'!$J$2:$J$29,"Reabierto")</f>
        <v/>
      </c>
    </row>
    <row r="19">
      <c r="A19" s="20" t="inlineStr">
        <is>
          <t>Alto</t>
        </is>
      </c>
      <c r="B19" s="20">
        <f>COUNTIF('Puntos abiertos'!$C$2:$C$29,A19)</f>
        <v/>
      </c>
      <c r="C19" s="20">
        <f>COUNTIFS('Puntos abiertos'!$C$2:$C$29,A19,'Puntos abiertos'!$J$2:$J$29,"Abierto")+COUNTIFS('Puntos abiertos'!$C$2:$C$29,A19,'Puntos abiertos'!$J$2:$J$29,"Requiere decisión")+COUNTIFS('Puntos abiertos'!$C$2:$C$29,A19,'Puntos abiertos'!$J$2:$J$29,"En proceso")+COUNTIFS('Puntos abiertos'!$C$2:$C$29,A19,'Puntos abiertos'!$J$2:$J$29,"Corregido - por auditar")+COUNTIFS('Puntos abiertos'!$C$2:$C$29,A19,'Puntos abiertos'!$J$2:$J$29,"Reabierto")</f>
        <v/>
      </c>
    </row>
    <row r="20">
      <c r="A20" s="20" t="inlineStr">
        <is>
          <t>Medio</t>
        </is>
      </c>
      <c r="B20" s="20">
        <f>COUNTIF('Puntos abiertos'!$C$2:$C$29,A20)</f>
        <v/>
      </c>
      <c r="C20" s="20">
        <f>COUNTIFS('Puntos abiertos'!$C$2:$C$29,A20,'Puntos abiertos'!$J$2:$J$29,"Abierto")+COUNTIFS('Puntos abiertos'!$C$2:$C$29,A20,'Puntos abiertos'!$J$2:$J$29,"Requiere decisión")+COUNTIFS('Puntos abiertos'!$C$2:$C$29,A20,'Puntos abiertos'!$J$2:$J$29,"En proceso")+COUNTIFS('Puntos abiertos'!$C$2:$C$29,A20,'Puntos abiertos'!$J$2:$J$29,"Corregido - por auditar")+COUNTIFS('Puntos abiertos'!$C$2:$C$29,A20,'Puntos abiertos'!$J$2:$J$29,"Reabierto")</f>
        <v/>
      </c>
    </row>
    <row r="21">
      <c r="A21" s="20" t="inlineStr">
        <is>
          <t>Bajo</t>
        </is>
      </c>
      <c r="B21" s="20">
        <f>COUNTIF('Puntos abiertos'!$C$2:$C$29,A21)</f>
        <v/>
      </c>
      <c r="C21" s="20">
        <f>COUNTIFS('Puntos abiertos'!$C$2:$C$29,A21,'Puntos abiertos'!$J$2:$J$29,"Abierto")+COUNTIFS('Puntos abiertos'!$C$2:$C$29,A21,'Puntos abiertos'!$J$2:$J$29,"Requiere decisión")+COUNTIFS('Puntos abiertos'!$C$2:$C$29,A21,'Puntos abiertos'!$J$2:$J$29,"En proceso")+COUNTIFS('Puntos abiertos'!$C$2:$C$29,A21,'Puntos abiertos'!$J$2:$J$29,"Corregido - por auditar")+COUNTIFS('Puntos abiertos'!$C$2:$C$29,A21,'Puntos abiertos'!$J$2:$J$29,"Reabierto")</f>
        <v/>
      </c>
    </row>
    <row r="23">
      <c r="A23" s="19" t="inlineStr">
        <is>
          <t>Origen</t>
        </is>
      </c>
      <c r="B23" s="19" t="inlineStr">
        <is>
          <t>Total</t>
        </is>
      </c>
      <c r="C23" s="19" t="inlineStr">
        <is>
          <t>Pendientes</t>
        </is>
      </c>
    </row>
    <row r="24">
      <c r="A24" s="20" t="inlineStr">
        <is>
          <t>Gestamp</t>
        </is>
      </c>
      <c r="B24" s="20">
        <f>COUNTIF('Puntos abiertos'!$B$2:$B$29,"Gestamp*")</f>
        <v/>
      </c>
      <c r="C24" s="20">
        <f>COUNTIFS('Puntos abiertos'!$B$2:$B$29,"Gestamp*",'Puntos abiertos'!$J$2:$J$29,"Abierto")+COUNTIFS('Puntos abiertos'!$B$2:$B$29,"Gestamp*",'Puntos abiertos'!$J$2:$J$29,"Requiere decisión")+COUNTIFS('Puntos abiertos'!$B$2:$B$29,"Gestamp*",'Puntos abiertos'!$J$2:$J$29,"En proceso")+COUNTIFS('Puntos abiertos'!$B$2:$B$29,"Gestamp*",'Puntos abiertos'!$J$2:$J$29,"Corregido - por auditar")+COUNTIFS('Puntos abiertos'!$B$2:$B$29,"Gestamp*",'Puntos abiertos'!$J$2:$J$29,"Reabierto")</f>
        <v/>
      </c>
    </row>
    <row r="25">
      <c r="A25" s="20" t="inlineStr">
        <is>
          <t>Ethos</t>
        </is>
      </c>
      <c r="B25" s="20">
        <f>COUNTIF('Puntos abiertos'!$B$2:$B$29,"Ethos*")</f>
        <v/>
      </c>
      <c r="C25" s="20">
        <f>COUNTIFS('Puntos abiertos'!$B$2:$B$29,"Ethos*",'Puntos abiertos'!$J$2:$J$29,"Abierto")+COUNTIFS('Puntos abiertos'!$B$2:$B$29,"Ethos*",'Puntos abiertos'!$J$2:$J$29,"Requiere decisión")+COUNTIFS('Puntos abiertos'!$B$2:$B$29,"Ethos*",'Puntos abiertos'!$J$2:$J$29,"En proceso")+COUNTIFS('Puntos abiertos'!$B$2:$B$29,"Ethos*",'Puntos abiertos'!$J$2:$J$29,"Corregido - por auditar")+COUNTIFS('Puntos abiertos'!$B$2:$B$29,"Ethos*",'Puntos abiertos'!$J$2:$J$29,"Reabierto")</f>
        <v/>
      </c>
    </row>
    <row r="26">
      <c r="A26" s="20" t="inlineStr">
        <is>
          <t>Calvin (Ethos)</t>
        </is>
      </c>
      <c r="B26" s="20">
        <f>COUNTIF('Puntos abiertos'!$B$2:$B$29,"Calvin*")</f>
        <v/>
      </c>
      <c r="C26" s="20">
        <f>COUNTIFS('Puntos abiertos'!$B$2:$B$29,"Calvin*",'Puntos abiertos'!$J$2:$J$29,"Abierto")+COUNTIFS('Puntos abiertos'!$B$2:$B$29,"Calvin*",'Puntos abiertos'!$J$2:$J$29,"Requiere decisión")+COUNTIFS('Puntos abiertos'!$B$2:$B$29,"Calvin*",'Puntos abiertos'!$J$2:$J$29,"En proceso")+COUNTIFS('Puntos abiertos'!$B$2:$B$29,"Calvin*",'Puntos abiertos'!$J$2:$J$29,"Corregido - por auditar")+COUNTIFS('Puntos abiertos'!$B$2:$B$29,"Calvin*",'Puntos abiertos'!$J$2:$J$29,"Reabierto")</f>
        <v/>
      </c>
    </row>
    <row r="28">
      <c r="A28" s="18" t="inlineStr">
        <is>
          <t>Pendientes = Abierto, Requiere decisión, En proceso, Corregido - por auditar, Reabierto.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8"/>
  <sheetViews>
    <sheetView workbookViewId="0">
      <selection activeCell="A1" sqref="A1"/>
    </sheetView>
  </sheetViews>
  <sheetFormatPr baseColWidth="8" defaultRowHeight="15"/>
  <cols>
    <col width="120" customWidth="1" min="1" max="1"/>
  </cols>
  <sheetData>
    <row r="1">
      <c r="A1" s="22" t="inlineStr">
        <is>
          <t>Esta lista: puntos de Gestamp para el buy-off</t>
        </is>
      </c>
    </row>
    <row r="2">
      <c r="A2" s="23" t="inlineStr">
        <is>
          <t>Los 22 puntos de la revisión de Gestamp del 2026-10-02 (G01 a G22, Origen "Gestamp #n", fondo azul, texto original en la columna Punto) y los puntos de Ethos que hacen falta para cerrarlos (Origen "Ethos, para Gnn"). Es lo que Gestamp audita para el buy-off: esta lista va primero.</t>
        </is>
      </c>
    </row>
    <row r="3">
      <c r="A3" s="23" t="inlineStr">
        <is>
          <t>Los demás puntos de Ethos están en la otra lista (R10_Mejora_Puntos): mejora de proceso, no son condición del buy-off.</t>
        </is>
      </c>
    </row>
    <row r="4">
      <c r="A4" s="23" t="inlineStr"/>
    </row>
    <row r="5">
      <c r="A5" s="22" t="inlineStr">
        <is>
          <t>Cómo usar esta lista</t>
        </is>
      </c>
    </row>
    <row r="6">
      <c r="A6" s="23" t="inlineStr">
        <is>
          <t>1. Trabaja los puntos en el programa del robot. Respeta docs/CONVENTIONS.md del repositorio: comentarios en inglés con la señal nombrada ($OUT[n] nombre), sin código comentado, sin reabrir inline forms que tengan líneas escritas a mano.</t>
        </is>
      </c>
    </row>
    <row r="7">
      <c r="A7" s="23" t="inlineStr">
        <is>
          <t>2. En la hoja "Puntos abiertos" llena SOLO las columnas amarillas de los puntos que trabajaste: Estado, Qué cambió el programador, Módulos modificados, Evidencia / prueba en celda, Fecha programador.</t>
        </is>
      </c>
    </row>
    <row r="8">
      <c r="A8" s="23" t="inlineStr">
        <is>
          <t>3. Estado: pon "En proceso" si empezaste y no está listo, o "Corregido - por auditar" si el cambio está hecho y probado. No pongas Cerrado: lo pone la auditoría.</t>
        </is>
      </c>
    </row>
    <row r="9">
      <c r="A9" s="23" t="inlineStr">
        <is>
          <t>4. La evidencia es lo que pide el criterio de cierre: prueba en celda con fecha y resultado, valor leído en el smartPAD, documento de Gestamp. Sin evidencia el punto se reabre.</t>
        </is>
      </c>
    </row>
    <row r="10">
      <c r="A10" s="23" t="inlineStr">
        <is>
          <t>5. Al final del día saca un respaldo completo del robot (Archive → All), nómbralo 658424_AAAA-MM-DD_HHMM.zip con la hora en que lo sacaste, y envíalo junto con las dos listas (R10_Gestamp_Puntos y R10_Mejora_Puntos), cada una guardada con la fecha y hora del día. No borres filas ni cambies las columnas blancas o grises.</t>
        </is>
      </c>
    </row>
    <row r="11">
      <c r="A11" s="23" t="inlineStr"/>
    </row>
    <row r="12">
      <c r="A12" s="22" t="inlineStr">
        <is>
          <t>Ejemplo de una fila llenada (formato esperado)</t>
        </is>
      </c>
    </row>
    <row r="13">
      <c r="A13" s="23" t="inlineStr">
        <is>
          <t>Estado: Corregido - por auditar</t>
        </is>
      </c>
    </row>
    <row r="14">
      <c r="A14" s="23" t="inlineStr">
        <is>
          <t>Qué cambió el programador: style1app1opt1..3: espera supervisada antes del LIN de aproximación (gun open LPT &gt; 120000, $IN[466], $IN[482], NOT $IN[470]) con $TIMER[21] 3 s, mensaje y do004ProcessFault. PRELOAD paso 20 ahora espera $IN[482].</t>
        </is>
      </c>
    </row>
    <row r="15">
      <c r="A15" s="23" t="inlineStr">
        <is>
          <t>Módulos modificados: style1app1opt1.src ... style1app1opt3.src, PRELOAD.src</t>
        </is>
      </c>
    </row>
    <row r="16">
      <c r="A16" s="23" t="inlineStr">
        <is>
          <t>Evidencia / prueba en celda: 2026-10-06, T1 50 %: clamp cerrado a mano, el robot se detuvo antes de P22 con mensaje; con todo abierto el ciclo siguió normal. 3 ciclos en automático OK.</t>
        </is>
      </c>
    </row>
    <row r="17">
      <c r="A17" s="23" t="inlineStr">
        <is>
          <t>Fecha programador: 2026-10-06</t>
        </is>
      </c>
    </row>
    <row r="18">
      <c r="A18" s="23" t="inlineStr"/>
    </row>
    <row r="19">
      <c r="A19" s="22" t="inlineStr">
        <is>
          <t>Base</t>
        </is>
      </c>
    </row>
    <row r="20">
      <c r="A20" s="23" t="inlineStr">
        <is>
          <t>Desde el 2026-10-11 la base es tu programa: no se carga ninguna versión de oficina. Cada respaldo se audita contra el anterior. En los puntos que la oficina había corregido, la Nota auditoría dice qué le falta a tu programa; el PDF y docs/OPEN_ITEMS.es.md traen qué hacer y, como referencia, cómo lo resolvió la oficina.</t>
        </is>
      </c>
    </row>
    <row r="21">
      <c r="A21" s="23" t="inlineStr">
        <is>
          <t>Fila completa en verde: punto cerrado (Cerrado, Aceptado sin cambio, No aplica, Sin acción o Se cierra con otro punto), aunque sea crítico. No hay que hacer nada en esas filas.</t>
        </is>
      </c>
    </row>
    <row r="22">
      <c r="A22" s="23" t="inlineStr">
        <is>
          <t>Las anotaciones que Edgar acuerda con el programador van en la columna "Qué cambió el programador".</t>
        </is>
      </c>
    </row>
    <row r="23">
      <c r="A23" s="23" t="inlineStr">
        <is>
          <t>Estándar: no se pide más de lo que hace el respaldo de Gestamp NUT07_10R1 (ver la Nota auditoría de cada punto).</t>
        </is>
      </c>
    </row>
    <row r="24">
      <c r="A24" s="23" t="inlineStr"/>
    </row>
    <row r="25">
      <c r="A25" s="22" t="inlineStr">
        <is>
          <t>Estados</t>
        </is>
      </c>
    </row>
    <row r="26">
      <c r="A26" s="20" t="inlineStr">
        <is>
          <t>Abierto: Pendiente de trabajar.</t>
        </is>
      </c>
    </row>
    <row r="27">
      <c r="A27" s="20" t="inlineStr">
        <is>
          <t>Requiere decisión: Falta información o decisión (Gestamp, seguridad, Ethos) antes de programar.</t>
        </is>
      </c>
    </row>
    <row r="28">
      <c r="A28" s="20" t="inlineStr">
        <is>
          <t>En proceso: Lo pone el programador: trabajo empezado.</t>
        </is>
      </c>
    </row>
    <row r="29">
      <c r="A29" s="20" t="inlineStr">
        <is>
          <t>Corregido - por auditar: Lo pone el programador: cambio hecho y probado, pide auditoría.</t>
        </is>
      </c>
    </row>
    <row r="30">
      <c r="A30" s="20" t="inlineStr">
        <is>
          <t>Cerrado - auditado: Lo pone la auditoría: cumple el criterio de cierre en el respaldo.</t>
        </is>
      </c>
    </row>
    <row r="31">
      <c r="A31" s="20" t="inlineStr">
        <is>
          <t>Reabierto: Lo pone la auditoría: no se encontró el cambio o no cumple (ver Nota auditoría).</t>
        </is>
      </c>
    </row>
    <row r="32">
      <c r="A32" s="20" t="inlineStr">
        <is>
          <t>Aceptado sin cambio: Ethos / Gestamp decidieron no corregir; queda la razón.</t>
        </is>
      </c>
    </row>
    <row r="33">
      <c r="A33" s="20" t="inlineStr">
        <is>
          <t>Cerrado - depuración: Resuelto por la depuración del 2026-10-04.</t>
        </is>
      </c>
    </row>
    <row r="34">
      <c r="A34" s="20" t="inlineStr">
        <is>
          <t>No aplica: El punto ya cumple.</t>
        </is>
      </c>
    </row>
    <row r="35">
      <c r="A35" s="20" t="inlineStr">
        <is>
          <t>Sin acción - documentado: Se deja como está; la nota dice cuándo se reabriría.</t>
        </is>
      </c>
    </row>
    <row r="36">
      <c r="A36" s="20" t="inlineStr">
        <is>
          <t>Se cierra con otro punto: Duplica otro punto (columna Depende de); se cierra con él.</t>
        </is>
      </c>
    </row>
    <row r="38">
      <c r="A38" s="24" t="inlineStr">
        <is>
          <t>Colores: amarillo = lo llena el programador; gris = lo llena la auditoría; blanco = no se edita.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14" customWidth="1" min="1" max="1"/>
    <col width="30" customWidth="1" min="2" max="2"/>
    <col width="10" customWidth="1" min="3" max="3"/>
    <col width="10" customWidth="1" min="4" max="4"/>
    <col width="16" customWidth="1" min="5" max="5"/>
    <col width="80" customWidth="1" min="6" max="6"/>
  </cols>
  <sheetData>
    <row r="1">
      <c r="A1" s="25" t="inlineStr">
        <is>
          <t>Fecha auditoría</t>
        </is>
      </c>
      <c r="B1" s="25" t="inlineStr">
        <is>
          <t>Respaldo</t>
        </is>
      </c>
      <c r="C1" s="25" t="inlineStr">
        <is>
          <t>Cerrados</t>
        </is>
      </c>
      <c r="D1" s="25" t="inlineStr">
        <is>
          <t>Reabiertos</t>
        </is>
      </c>
      <c r="E1" s="25" t="inlineStr">
        <is>
          <t>Cambios de código</t>
        </is>
      </c>
      <c r="F1" s="25" t="inlineStr">
        <is>
          <t>Notas</t>
        </is>
      </c>
    </row>
    <row r="2">
      <c r="A2" s="20" t="inlineStr">
        <is>
          <t>2026-10-04</t>
        </is>
      </c>
      <c r="B2" s="20" t="inlineStr">
        <is>
          <t>658424_R10 (versión de oficina, tools/build_archive.py)</t>
        </is>
      </c>
      <c r="C2" s="20" t="n">
        <v>0</v>
      </c>
      <c r="D2" s="20" t="n">
        <v>0</v>
      </c>
      <c r="E2" s="20" t="inlineStr">
        <is>
          <t>12 módulos con cambios de lógica, 8 equivalentes tras renombres, 1 borrado (centerline_loop.src), 2 movidos (Styles/optiones → Styles/Options), 104 idénticos (tools/check_equivalence.py contra la base fb8a4c8)</t>
        </is>
      </c>
      <c r="F2" s="20" t="inlineStr">
        <is>
          <t>Alta de los 22 puntos de Gestamp, F01-F47 y C01-C28. Corregidos en oficina, por probar en celda: G11-G17 y G20 (y F24, F28, F30, F32, F36), más G04 (borrado en la depuración, falta borrarlo en el controlador); cerrados por la depuración: F45, C03, C24, C26; con avance de oficina y todavía abiertos: G05, G10, F03, F07, F16, F17, F29, F31. Base: commit de depuración fb8a4c8; cambios listados en tools/code_changes.json. La lista de Calvin (Gstamp_Robot_Open_Issues_2026-10-03) se verificó punto por punto: cada fila de 10R1 o All tiene su punto (referencias en origen_ref).</t>
        </is>
      </c>
    </row>
    <row r="3">
      <c r="A3" s="20" t="inlineStr">
        <is>
          <t>2026-10-05</t>
        </is>
      </c>
      <c r="B3" s="20" t="inlineStr">
        <is>
          <t>bmw_03_10_r1.zip (am.ini 2026-10-05 09:43, robot BMW_03_10_R1, serie 658424)</t>
        </is>
      </c>
      <c r="C3" s="20" t="n">
        <v>0</v>
      </c>
      <c r="D3" s="20" t="n">
        <v>0</v>
      </c>
      <c r="E3" s="20" t="inlineStr">
        <is>
          <t>62 archivos cambiados, 7 agregados (GUN_OPEN_CHECK, proyecto WorkVisual BMW-03-10R1_v8), 39 KRL con cambios de código (-230/+1323 líneas) contra el estado auditado (b5a8803)</t>
        </is>
      </c>
      <c r="F3" s="20" t="inlineStr">
        <is>
          <t>La versión de oficina NO se cargó: 29 archivos son el original byte por byte, 16 se editaron encima del original y siguen en el controlador los 22 archivos borrados por la depuración. El programador trabajó sobre el original: quitó los GOTO (G11), reinició los timers del gun (F07), agregó GUN_OPEN_CHECK e interrupts de vigilancia del gun (F01 parcial), flujo de agua real (F09), evaluación por option en sensor y cámara (F02, F19 parcial), cambió el nombre del robot (G01) y activó AutomationCore_BKG editando el proveedor (F12, nuevo F49). Nuevo F48: interlock de drop-off movido después de la aproximación. Sin Excel del programador: ningún punto se marcó como corregido. Siguiente paso: integrar sus cambios en la versión depurada y cargar esa. Reporte en audits/2026-10-05_09-43-37.</t>
        </is>
      </c>
    </row>
    <row r="4">
      <c r="A4" s="20" t="inlineStr">
        <is>
          <t>2026-10-05</t>
        </is>
      </c>
      <c r="B4" s="20" t="inlineStr">
        <is>
          <t>658424_R10_2026-10-05_0819.zip (versión integrada, armada sobre bmw_03_10_r1.zip)</t>
        </is>
      </c>
      <c r="C4" s="20" t="n">
        <v>0</v>
      </c>
      <c r="D4" s="20" t="n">
        <v>0</v>
      </c>
      <c r="E4" s="20" t="inlineStr">
        <is>
          <t>Contra la depuración fb8a4c8: 26 KRL con cambios de código, 2 módulos nuevos (GUN_OPEN_CHECK.src/.dat), 22 archivos fuera; contra el repositorio: idéntico (308 entradas). audit_backup: 0 FAIL, 0 WARN.</t>
        </is>
      </c>
      <c r="F4" s="20" t="inlineStr">
        <is>
          <t>Integración de los cambios del programador del 2026-10-05 en la versión depurada: GUN_OPEN_CHECK e interrupts del gun (F01 parcial), agua real (F09 parcial), evaluación por option en sensor y cámara (F02 parcial, F19 parcial), AutomationCore_BKG activo con ediciones del proveedor (F12/F49 pendientes de decisión), nombre BMW_03_10_R1 y mapeo TBEN conservados. F48: el zip regresa el interlock de drop-off antes del primer movimiento y conserva el AtDrop3 del programador (la pieza cae mejor en el conveyor; validado por Edgar con el programador). Ningún punto se cierra: todos piden prueba en celda con evidencia y respaldo. Reporte en audits/2026-10-05_integracion. El zip 658424_R10_2026-10-05_0809 (con AtDrop3 original) queda reemplazado por el 0819; no cargar el 0809.</t>
        </is>
      </c>
    </row>
    <row r="5">
      <c r="A5" s="20" t="inlineStr">
        <is>
          <t>2026-10-05</t>
        </is>
      </c>
      <c r="B5" s="20" t="inlineStr">
        <is>
          <t>bmw_03_10_r1.zip (am.ini 2026-10-05 14:46)</t>
        </is>
      </c>
      <c r="C5" s="20" t="n">
        <v>0</v>
      </c>
      <c r="D5" s="20" t="n">
        <v>0</v>
      </c>
      <c r="E5" s="20" t="inlineStr">
        <is>
          <t>Contra el estado auditado: 19 archivos originales, 17 editados encima del original, 22 borrados aún en el controlador; contra el respaldo de las 09:43: apps de soldadura partidas en A (estación 1, igual) y B (estación 2, puntos de soldadura retocados 1-5 mm), punto de cámara P3 re-enseñado (83 mm, ~16°), AC_ApplicationCheck(1) después de P22, PTP P1 quitado del drop.</t>
        </is>
      </c>
      <c r="F5" s="20" t="inlineStr">
        <is>
          <t>La versión integrada (zip 0819) no se cargó. Revisión independiente (2 agentes) de GUN_OPEN_CHECK/interrupts y del background de AutomationCore: integración fiel; huecos de vigilancia del gun (F01); con el background activo el Request to Enter deja de detener el robot si $OUT[930] quedó en ON (F35 sube a Alto), el background pisa las habilitaciones del Bosch, el cambio de electrodo corre sin probar (F43, F49). Nuevo F50. Sin Excel del programador. Reporte en audits/2026-10-05_14-46-44.</t>
        </is>
      </c>
    </row>
    <row r="6">
      <c r="A6" s="20" t="inlineStr">
        <is>
          <t>2026-10-05</t>
        </is>
      </c>
      <c r="B6" s="20" t="inlineStr">
        <is>
          <t>R10_paquete_2026-10-05_1351.zip (versión integrada sobre el respaldo de las 14:46; zip completo 658424_R10_2026-10-05_1351)</t>
        </is>
      </c>
      <c r="C6" s="20" t="n">
        <v>0</v>
      </c>
      <c r="D6" s="20" t="n">
        <v>0</v>
      </c>
      <c r="E6" s="20" t="inlineStr">
        <is>
          <t>Contra el respaldo de las 14:46: 57 programas a reemplazar, 2 a agregar (Styles/Options), 24 a borrar. Contra la depuración fb8a4c8: 38 KRL con cambios de código; audit_backup 0 FAIL, 0 WARN; zip idéntico al repositorio.</t>
        </is>
      </c>
      <c r="F6" s="20" t="inlineStr">
        <is>
          <t>Integrados: apps A/B por estación (F51) y punto de cámara. No integrados: permiso de aplicación después de P22 (F50) y P1 quitado del drop (preguntar al programador). Correcciones de la revisión independiente: interrupts antes de cada GUN_OPEN_CHECK y mensaje en GUN_OPEN_LOST (F01), aplicación 1 liberada por TRIGGER al salir de la cámara (F48, F20), background de AutomationCore apagado con sus salidas en OFF al arrancar (F49). Un revisor independiente revisó la integración antes de la entrega: sin defectos bloqueantes. Se entrega como paquete para WorkVisual (tools/make_package.py), no como respaldo completo. Reporte en audits/2026-10-05_integracion_2.</t>
        </is>
      </c>
    </row>
    <row r="7">
      <c r="A7" s="20" t="inlineStr">
        <is>
          <t>2026-10-07</t>
        </is>
      </c>
      <c r="B7" s="20" t="inlineStr">
        <is>
          <t>R10_paquete_2026-10-07_1341.zip (etapa 1 de tiempo ciclo sobre el respaldo de las 14:46 del 2026-10-05; incluye todo el paquete del 2026-10-05; zip completo 658424_R10_2026-10-07_1340)</t>
        </is>
      </c>
      <c r="C7" s="20" t="n">
        <v>0</v>
      </c>
      <c r="D7" s="20" t="n">
        <v>0</v>
      </c>
      <c r="E7" s="20" t="inlineStr">
        <is>
          <t>Contra el respaldo de las 14:46: 57 programas a reemplazar, 4 a agregar (Styles/Options y CL_CYCLE_TIME), 24 a borrar. Contra la entrega del 2026-10-05: 11 KRL con cambios de código (PRELOAD, CENTERLINE_WELD, Request_next_nut, las 6 apps de soldadura, $config.dat, CL_CYCLE_TIME nuevo); audit_backup 0 FAIL, 0 WARN; zip idéntico al repositorio.</t>
        </is>
      </c>
      <c r="F7" s="20" t="inlineStr">
        <is>
          <t>F52 etapa 1: la siguiente tuerca se alimenta al shuttle mientras el robot entra y suelda y se carga al pin a la salida (app 1 en P8, app 2 en P05); paso 20 con QFP regresado confirmado; medición de tiempos CL_CYCLE_TIME ($TIMER[20]). Dos revisores independientes (lógica de precarga, compilación y medición): sin errores de compilación ni rutas del ciclo normal con el shuttle en movimiento con la pieza en el pedestal; sus correcciones aplicadas antes de la entrega. Reporte en audits/2026-10-07_tiempo_ciclo (contra la entrega del 2026-10-05, 1b28a7e).</t>
        </is>
      </c>
    </row>
    <row r="8">
      <c r="A8" s="20" t="inlineStr">
        <is>
          <t>2026-10-11</t>
        </is>
      </c>
      <c r="B8" s="20" t="inlineStr">
        <is>
          <t>bmw_03_10_r1.zip del 2026-10-05 14:46 (sin respaldo nuevo): pasa a ser la base, commit 468e29f</t>
        </is>
      </c>
      <c r="C8" s="20" t="n">
        <v>0</v>
      </c>
      <c r="D8" s="20" t="n">
        <v>0</v>
      </c>
      <c r="E8" s="20" t="inlineStr">
        <is>
          <t>Cambio de base por decisión de Edgar (igual que R20): el programa del programador es el estado auditado, importado byte por byte; la versión de oficina queda en 84442ac como referencia. La auditoría de su respaldo contra la nueva base: 336 entradas sin cambio, 0 FAIL, 0 WARN.</t>
        </is>
      </c>
      <c r="F8" s="20" t="inlineStr">
        <is>
          <t>Los 16 puntos 'Corregido en oficina' se revisaron contra su programa (G11 cerrado; F30 en proceso; G04, F24, F28 y F32 se cierran con otro punto; el resto abierto). Estándar de Gestamp NUT07_10R1 aplicado por analogía con R20 (G08, G09, G18, F08, F49 y C12 aceptados sin cambio; C01 y C19 cerrados; G10, F02 y C14 con otro punto). Los 12 módulos sobrantes se siguen solo en G05. Registro en audits/2026-10-11_estandar_gestamp.</t>
        </is>
      </c>
    </row>
    <row r="9">
      <c r="A9" s="20" t="inlineStr">
        <is>
          <t>2026-10-11</t>
        </is>
      </c>
      <c r="B9" s="20" t="inlineStr">
        <is>
          <t>V431_03_WINDOWS-2CPT70E_BMW_03_10_R1_658424.zip (am.ini 2026-10-10 21:20, robot BMW_03_10_R1, serie 658424, KSS 8.3.29); importado byte por byte en cd17b34</t>
        </is>
      </c>
      <c r="C9" s="20" t="n">
        <v>10</v>
      </c>
      <c r="D9" s="20" t="n">
        <v>0</v>
      </c>
      <c r="E9" s="20" t="inlineStr">
        <is>
          <t>Contra su respaldo del 05/10 14:46: 90 archivos cambiados, 3 agregados, 19 faltantes (14 de los 8 módulos sobrantes que borró y 5 de proyectos WorkVisual), 51 KRL con cambios de código (-1562/+931). Es la versión de oficina del 05/10 cargada más sus cambios del 06 al 10/10. audit_backup: 12 FAIL revisados (2 falsas alarmas del auditor: forms OUT con el nombre de la señal y NUT_WELD_RETRY declarado en gun_open_check.dat; 1 real: redrabbit.dat sobrante ya no compila).</t>
        </is>
      </c>
      <c r="F9" s="20" t="inlineStr">
        <is>
          <t>Cerrados: G12, G13, G14, G15, G16, G17, G20, F01, F20 y F36. En proceso: G03/C08 (carga de 67.28 kg, falta la evidencia) y F12. F53 nuevo (pre-alimentación y tuerca pedida con la pieza en la pistola) aceptado como R20 F51. Midió con sus timers CT_*: 4.0 s dentro de la pistola por tuerca, 6.7 s tuerca a tuerca, 0.56 s de espera de tuerca por pieza. Riesgos: ventana de pistola de 150 ms (Gestamp 200), NUT_READY no se borra al soldar, tuerca confirmada por tiempo (5 s), cámara con 2.0 s fijos, F48/F50 sin cambio. Entrega de esperas del PLC en entregas/2026-10-11_F52_esperas_PLC. Registro en audits/2026-10-10_21-20-39.</t>
        </is>
      </c>
    </row>
    <row r="10">
      <c r="A10" s="20" t="inlineStr">
        <is>
          <t>2026-10-12</t>
        </is>
      </c>
      <c r="B10" s="20" t="inlineStr">
        <is>
          <t>BMW_03_WINDOWS-2CPT70E_BMW_03_10_R1_658424.zip (am.ini 2026-10-11 22:32, robot BMW_03_10_R1, serie 658424, KSS 8.3.29); importado byte por byte en 8cb5c7a</t>
        </is>
      </c>
      <c r="C10" s="20" t="n">
        <v>0</v>
      </c>
      <c r="D10" s="20" t="n">
        <v>3</v>
      </c>
      <c r="E10" s="20" t="inlineStr">
        <is>
          <t>Contra su respaldo del 10/10 21:20: 39 archivos cambiados, 1 agregado, 10 KRL con cambios de código (-38/+70): cámara, PRELOAD, apertura de pistola, sps.sub (NutWeld_BKG activo, robot en repair), pick red rabbit y NutWeld de KUKA. audit_backup: 0 FAIL, 19 WARN (17 líneas de código comentado en sps.sub, señales sin comentario).</t>
        </is>
      </c>
      <c r="F10" s="20" t="inlineStr">
        <is>
          <t>Reabiertos C01, C19 y C14: corrección de la auditoría del 10/10, AutomationCore_BKG está apagado desde que cargó la versión de oficina. F54 nuevo: confirmar que la cámara no da el resultado de la pieza anterior. Cámara sin la espera fija de 2.0 s; pre-alimentación de 2 s y WAIT SEC 0.2 al abrir la pistola, como R20. Tiempo de ciclo de AutomationCore: 50 s (05/10), 39 s (10/10), 26 s (11/10, ciclo sin soldar). Registro en audits/2026-10-11_22-32-16.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2026-10-12T12:25:43Z</dcterms:created>
  <dcterms:modified xsi:type="dcterms:W3CDTF">2026-10-12T12:25:43Z</dcterms:modified>
</cp:coreProperties>
</file>