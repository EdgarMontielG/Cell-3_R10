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abiertos'!$A$1:$Q$103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
      <patternFill patternType="solid">
        <fgColor rgb="00C6EFCE"/>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03"/>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Estándar Gestamp</t>
        </is>
      </c>
      <c r="P2" s="7" t="inlineStr">
        <is>
          <t>2026-10-11</t>
        </is>
      </c>
      <c r="Q2" s="7" t="inlineStr">
        <is>
          <t>Su robot de referencia se llama NUT07_10R1 (celda 07, estación 10, robot 1); el respaldo Bosch de R20 se llama G65-03-20-R1-PNW1-WC. Hoy el nuestro es BMW_03_10_R1. Por analogía sería NUT03_10R1: confirmar con Gestamp con esos dos ejemplos.</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Estándar Gestamp</t>
        </is>
      </c>
      <c r="P3" s="7" t="inlineStr">
        <is>
          <t>2026-10-11</t>
        </is>
      </c>
      <c r="Q3" s="7" t="inlineStr">
        <is>
          <t>La herramienta de seguridad no se ve en texto en ningún respaldo: sigue la captura del smartHMI.</t>
        </is>
      </c>
    </row>
    <row r="4">
      <c r="A4" s="2" t="inlineStr">
        <is>
          <t>G03</t>
        </is>
      </c>
      <c r="B4" s="3" t="inlineStr">
        <is>
          <t>Gestamp #3</t>
        </is>
      </c>
      <c r="C4" s="8" t="inlineStr">
        <is>
          <t>Alto</t>
        </is>
      </c>
      <c r="D4" s="3" t="inlineStr">
        <is>
          <t>Determinar los datos de carga de la herramienta 1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Protocolo de Load Data Determination (captura o archivo) con fecha.</t>
        </is>
      </c>
      <c r="I4" s="5" t="inlineStr">
        <is>
          <t>C08, F39, C09</t>
        </is>
      </c>
      <c r="J4" s="6" t="inlineStr">
        <is>
          <t>Abierto</t>
        </is>
      </c>
      <c r="K4" s="6" t="inlineStr"/>
      <c r="L4" s="6" t="inlineStr"/>
      <c r="M4" s="6" t="inlineStr"/>
      <c r="N4" s="6" t="inlineStr"/>
      <c r="O4" s="7" t="inlineStr">
        <is>
          <t>Estándar Gestamp</t>
        </is>
      </c>
      <c r="P4" s="7" t="inlineStr">
        <is>
          <t>2026-10-11</t>
        </is>
      </c>
      <c r="Q4" s="7" t="inlineStr">
        <is>
          <t>Gestamp tiene una carga determinada por herramienta (LOAD_DATA[1] 81 kg con centro de masa e inercias) y no usa carga aparte con pieza: se quita ese criterio (igual que R20). Hoy LOAD_DATA[1] sigue tecleado (210 kg, CM 270/0/240, inercias 105).</t>
        </is>
      </c>
    </row>
    <row r="5">
      <c r="A5" s="9" t="inlineStr">
        <is>
          <t>G04</t>
        </is>
      </c>
      <c r="B5" s="10" t="inlineStr">
        <is>
          <t>Gestamp #4</t>
        </is>
      </c>
      <c r="C5" s="11" t="inlineStr">
        <is>
          <t>Bajo</t>
        </is>
      </c>
      <c r="D5" s="10" t="inlineStr">
        <is>
          <t>Programa RedRabbit bloqueado: borrado
Gestamp: "Program Red Rabbit() is blocked, might be an unnecessary copy"</t>
        </is>
      </c>
      <c r="E5" s="10" t="inlineStr">
        <is>
          <t>Código</t>
        </is>
      </c>
      <c r="F5" s="10" t="inlineStr">
        <is>
          <t>Programador robot (prueba en celda)</t>
        </is>
      </c>
      <c r="G5" s="10" t="inlineStr">
        <is>
          <t>KRC/R1/Program/Utilities/redrabbit.src, KRC/R1/Program/Utilities/RedRabbit.dat</t>
        </is>
      </c>
      <c r="H5" s="10" t="inlineStr">
        <is>
          <t>• En el respaldo no están KRC/R1/Program/Utilities/redrabbit.src ni RedRabbit.dat (borrados también en el controlador).
• El programa carga sin errores de compilación (captura del navegador del smartPAD sin módulos en rojo). Un ciclo red rabbit (option 12) corre igual que antes de la carga (sus defectos siguen en F19). Anotar fecha.</t>
        </is>
      </c>
      <c r="I5" s="10" t="inlineStr">
        <is>
          <t>G05</t>
        </is>
      </c>
      <c r="J5" s="10" t="inlineStr">
        <is>
          <t>Se cierra con otro punto</t>
        </is>
      </c>
      <c r="K5" s="10" t="inlineStr"/>
      <c r="L5" s="10" t="inlineStr"/>
      <c r="M5" s="10" t="inlineStr"/>
      <c r="N5" s="10" t="inlineStr"/>
      <c r="O5" s="10" t="inlineStr">
        <is>
          <t>Cambio de base</t>
        </is>
      </c>
      <c r="P5" s="10" t="inlineStr">
        <is>
          <t>2026-10-11</t>
        </is>
      </c>
      <c r="Q5" s="10" t="inlineStr">
        <is>
          <t>Base = programa del programador (respaldo del 2026-10-05 14:46). redrabbit.src y RedRabbit.dat siguen en el controlador: son módulos sobrantes y se siguen solo en G05.</t>
        </is>
      </c>
    </row>
    <row r="6">
      <c r="A6" s="2" t="inlineStr">
        <is>
          <t>G05</t>
        </is>
      </c>
      <c r="B6" s="3" t="inlineStr">
        <is>
          <t>Gestamp #5</t>
        </is>
      </c>
      <c r="C6" s="12"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Con la celda probada al 100 %: los módulos sobrantes de la lista ya no están en el respaldo (borrados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El programa carga sin errores de compilación (captura del navegador del smartPAD sin módulos en rojo). Un ciclo completo en automático sale bien. Anotar fecha.</t>
        </is>
      </c>
      <c r="I6" s="5" t="inlineStr">
        <is>
          <t>G04, C28</t>
        </is>
      </c>
      <c r="J6" s="6" t="inlineStr">
        <is>
          <t>Abierto</t>
        </is>
      </c>
      <c r="K6" s="6" t="inlineStr"/>
      <c r="L6" s="6" t="inlineStr"/>
      <c r="M6" s="6" t="inlineStr"/>
      <c r="N6" s="6" t="inlineStr"/>
      <c r="O6" s="7" t="inlineStr">
        <is>
          <t>Decisión</t>
        </is>
      </c>
      <c r="P6" s="7" t="inlineStr">
        <is>
          <t>2026-10-11</t>
        </is>
      </c>
      <c r="Q6" s="7" t="inlineStr">
        <is>
          <t>Base = programa del programador (respaldo del 2026-10-05 14:46). Decisión de Edgar (2026-10-11, igual que R20): la auditoría ya no marca los módulos que borró la oficina; los sobrantes se siguen solo en este punto y no se evalúan hasta que la celda esté probada al 100 %.</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Estándar Gestamp</t>
        </is>
      </c>
      <c r="P7" s="7" t="inlineStr">
        <is>
          <t>2026-10-11</t>
        </is>
      </c>
      <c r="Q7" s="7" t="inlineStr">
        <is>
          <t>El cell.src de Gestamp llama GunElectrodeChange() cuando do111Gun1ElectrodeChange (fin de stepper, escrito por AutomationCore_BKG) está activo. El nuestro ya lo hace igual (cell.src:70-71, BKG activo). Depende de que Gestamp resetee el stepper en el Bosch; en R20 la llamada está comentada porque allá el fin de stepper está siempre activo: confirmar en celda que aquí no.</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Estándar Gestamp</t>
        </is>
      </c>
      <c r="P8" s="7" t="inlineStr">
        <is>
          <t>2026-10-11</t>
        </is>
      </c>
      <c r="Q8" s="7" t="inlineStr">
        <is>
          <t>Gestamp usa un option por estación de pick (1 = estación 1, 2 = estación 2, 10 = red rabbit), cada uno con su programa Style1OptN. El nuestro manda 1, 2, 7 y 8 a Style1Opt1 (la estación la decide di065/di066) y 12 al red rabbit. Se cambia o lo acepta Gestamp (igual que R20).</t>
        </is>
      </c>
    </row>
    <row r="9">
      <c r="A9" s="9" t="inlineStr">
        <is>
          <t>G08</t>
        </is>
      </c>
      <c r="B9" s="10" t="inlineStr">
        <is>
          <t>Gestamp #8</t>
        </is>
      </c>
      <c r="C9" s="13" t="inlineStr">
        <is>
          <t>Alto</t>
        </is>
      </c>
      <c r="D9" s="10" t="inlineStr">
        <is>
          <t>El ciclo red rabbit no sigue el camino de producción
Gestamp: "Separate Auto-Red Rabbit program that doesn't match production"</t>
        </is>
      </c>
      <c r="E9" s="10" t="inlineStr">
        <is>
          <t>Decisión + código</t>
        </is>
      </c>
      <c r="F9" s="10" t="inlineStr">
        <is>
          <t>Gestamp controles / Programador robot</t>
        </is>
      </c>
      <c r="G9" s="10" t="inlineStr">
        <is>
          <t>KRC/R1/Program/Styles/Options/Style1Opt10AutoRR.src, KRC/R1/Program/StylePicks/Options/style1pick1opt1AutoRR.src, KRC/R1/Program/StyleDrops/Options/style1drop1opt2AutoRR.src</t>
        </is>
      </c>
      <c r="H9" s="10" t="inlineStr">
        <is>
          <t>• Procedimiento red rabbit de Gestamp por escrito.
• Se cumplen los criterios de F19.
• Comentarios del código cambiado según docs/CONVENTIONS.md (inglés, señal con dirección y nombre); ningún encabezado de inline form ni línea dentro de un fold de form cambia sin estar declarado (F32, F21, F31).</t>
        </is>
      </c>
      <c r="I9" s="10" t="inlineStr">
        <is>
          <t>F19, G21</t>
        </is>
      </c>
      <c r="J9" s="10" t="inlineStr">
        <is>
          <t>Aceptado sin cambio</t>
        </is>
      </c>
      <c r="K9" s="10" t="inlineStr"/>
      <c r="L9" s="10" t="inlineStr"/>
      <c r="M9" s="10" t="inlineStr"/>
      <c r="N9" s="10" t="inlineStr"/>
      <c r="O9" s="10" t="inlineStr">
        <is>
          <t>Estándar Gestamp</t>
        </is>
      </c>
      <c r="P9" s="10" t="inlineStr">
        <is>
          <t>2026-10-11</t>
        </is>
      </c>
      <c r="Q9" s="10" t="inlineStr">
        <is>
          <t>El red rabbit de Gestamp (Style1Opt10AutoRR) tiene pick y drop propios y usa el nut check de producción. El nuestro tiene la misma estructura y además corre la cámara. Aceptado sin cambio (igual que R20); el cierre final lo acepta Gestamp. El resultado sigue en G21/F19.</t>
        </is>
      </c>
    </row>
    <row r="10">
      <c r="A10" s="9" t="inlineStr">
        <is>
          <t>G09</t>
        </is>
      </c>
      <c r="B10" s="10" t="inlineStr">
        <is>
          <t>Gestamp #9</t>
        </is>
      </c>
      <c r="C10" s="14" t="inlineStr">
        <is>
          <t>Medio</t>
        </is>
      </c>
      <c r="D10" s="10" t="inlineStr">
        <is>
          <t>Pieza en gripper al PLC fijada por programa, no por los sensores
Gestamp: "Part control to PLC is set/reset instead of reflecting the real part controls"</t>
        </is>
      </c>
      <c r="E10" s="10" t="inlineStr">
        <is>
          <t>Decisión + código</t>
        </is>
      </c>
      <c r="F10" s="10" t="inlineStr">
        <is>
          <t>Programador robot / Gestamp controles</t>
        </is>
      </c>
      <c r="G10"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10" t="inlineStr">
        <is>
          <t>• $OUT[18] se escribe en un solo lugar, a partir de di253/di254; los inline forms OUT 18 de picks, drops y RejectGE4 ya no están.
• Prueba: quitar la pieza a mano del gripper en T1 → $OUT[18] OFF de inmediato; con la pieza tomada → ON. Anotar fecha.
• Comentarios del código cambiado según docs/CONVENTIONS.md (inglés, señal con dirección y nombre); ningún encabezado de inline form ni línea dentro de un fold de form cambia sin estar declarado (F32, F21, F31).</t>
        </is>
      </c>
      <c r="I10" s="10" t="inlineStr">
        <is>
          <t>F12, C01, C16</t>
        </is>
      </c>
      <c r="J10" s="10" t="inlineStr">
        <is>
          <t>Aceptado sin cambio</t>
        </is>
      </c>
      <c r="K10" s="10" t="inlineStr"/>
      <c r="L10" s="10" t="inlineStr"/>
      <c r="M10" s="10" t="inlineStr"/>
      <c r="N10" s="10" t="inlineStr"/>
      <c r="O10" s="10" t="inlineStr">
        <is>
          <t>Estándar Gestamp</t>
        </is>
      </c>
      <c r="P10" s="10" t="inlineStr">
        <is>
          <t>2026-10-11</t>
        </is>
      </c>
      <c r="Q10" s="10" t="inlineStr">
        <is>
          <t>Gestamp pone y quita $OUT[18] con inline forms OUT en pick, drop y reject; el nuestro igual (picks, drop al conveyor, drop red rabbit y RejectGE4). Aceptado sin cambio (igual que R20); el cierre final lo acepta Gestamp.</t>
        </is>
      </c>
    </row>
    <row r="11">
      <c r="A11" s="9" t="inlineStr">
        <is>
          <t>G10</t>
        </is>
      </c>
      <c r="B11" s="10" t="inlineStr">
        <is>
          <t>Gestamp #10</t>
        </is>
      </c>
      <c r="C11" s="14" t="inlineStr">
        <is>
          <t>Medio</t>
        </is>
      </c>
      <c r="D11" s="10" t="inlineStr">
        <is>
          <t>Comandos de gripper GripperTech en todos los movimientos de gripper
Gestamp: "Gripper commands not used at all times"</t>
        </is>
      </c>
      <c r="E11" s="10" t="inlineStr">
        <is>
          <t>Código + prueba en celda</t>
        </is>
      </c>
      <c r="F11" s="10" t="inlineStr">
        <is>
          <t>Programador robot / Puesta en marcha</t>
        </is>
      </c>
      <c r="G11"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10" t="inlineStr">
        <is>
          <t>• Se cumplen los criterios de F31 y F33.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10" t="inlineStr">
        <is>
          <t>F31, F33</t>
        </is>
      </c>
      <c r="J11" s="10" t="inlineStr">
        <is>
          <t>Se cierra con otro punto</t>
        </is>
      </c>
      <c r="K11" s="10" t="inlineStr"/>
      <c r="L11" s="10" t="inlineStr"/>
      <c r="M11" s="10" t="inlineStr"/>
      <c r="N11" s="10" t="inlineStr"/>
      <c r="O11" s="10" t="inlineStr">
        <is>
          <t>Estándar Gestamp</t>
        </is>
      </c>
      <c r="P11" s="10" t="inlineStr">
        <is>
          <t>2026-10-11</t>
        </is>
      </c>
      <c r="Q11" s="10" t="inlineStr">
        <is>
          <t>Gestamp usa GRPg_SetStateAndCheck / GRPg_Check en pick, drop y reject. El nuestro ya los usa en los 3 picks, el drop al conveyor, el drop red rabbit y RejectGE4, sin salidas de gripper escritas a mano. Queda F31 (el drop red rabbit suelta con el gripper 3) y F33.</t>
        </is>
      </c>
    </row>
    <row r="12">
      <c r="A12" s="9" t="inlineStr">
        <is>
          <t>G11</t>
        </is>
      </c>
      <c r="B12" s="10" t="inlineStr">
        <is>
          <t>Gestamp #11</t>
        </is>
      </c>
      <c r="C12" s="14" t="inlineStr">
        <is>
          <t>Medio</t>
        </is>
      </c>
      <c r="D12" s="10" t="inlineStr">
        <is>
          <t>Sin GOTO ni etiquetas
Gestamp: "Use of Goto labels"</t>
        </is>
      </c>
      <c r="E12" s="10" t="inlineStr">
        <is>
          <t>Código + prueba en celda</t>
        </is>
      </c>
      <c r="F12" s="10" t="inlineStr">
        <is>
          <t>Programador robot (prueba en celda)</t>
        </is>
      </c>
      <c r="G12" s="10"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10" t="inlineStr">
        <is>
          <t>• En el respaldo ningún módulo del integrador (KRC/R1/Program, KRC/R1/cell.src, sps.sub) tiene GOTO ni etiquetas.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10" t="inlineStr">
        <is>
          <t>F30, F07</t>
        </is>
      </c>
      <c r="J12" s="10" t="inlineStr">
        <is>
          <t>Cerrado - auditado</t>
        </is>
      </c>
      <c r="K12" s="10" t="inlineStr"/>
      <c r="L12" s="10" t="inlineStr"/>
      <c r="M12" s="10" t="inlineStr"/>
      <c r="N12" s="10" t="inlineStr"/>
      <c r="O12" s="10" t="inlineStr">
        <is>
          <t>Cambio de base</t>
        </is>
      </c>
      <c r="P12" s="10" t="inlineStr">
        <is>
          <t>2026-10-11</t>
        </is>
      </c>
      <c r="Q12" s="10" t="inlineStr">
        <is>
          <t>Base = programa del programador (respaldo del 2026-10-05 14:46). Ningún módulo activo tiene GOTO ni etiquetas: el programador los cambió por IF/LOOP (encabezados "Rev. 2026-10-05" de CENTERLINE_WELD y Style1Opt1). Solo quedan GOTO en trigger1-3, módulos sobrantes de G05.</t>
        </is>
      </c>
    </row>
    <row r="13">
      <c r="A13" s="2" t="inlineStr">
        <is>
          <t>G12</t>
        </is>
      </c>
      <c r="B13" s="3" t="inlineStr">
        <is>
          <t>Gestamp #12</t>
        </is>
      </c>
      <c r="C13" s="4" t="inlineStr">
        <is>
          <t>Medio</t>
        </is>
      </c>
      <c r="D13" s="3" t="inlineStr">
        <is>
          <t>Nombres de señal en lugar de números de E/S
Gestamp: "Use of I/O numbers instead of signal names"</t>
        </is>
      </c>
      <c r="E13" s="5" t="inlineStr">
        <is>
          <t>Código + prueba en celda</t>
        </is>
      </c>
      <c r="F13" s="5" t="inlineStr">
        <is>
          <t>Programador robot (prueba en celda)</t>
        </is>
      </c>
      <c r="G13" s="5" t="inlineStr">
        <is>
          <t>KRC/R1/Program/Centerline/centerline_weld.src, KRC/R1/Program/Centerline/PRELOAD.src, KRC/R1/Program/Centerline/CENTERLINE_HOME.src, KRC/R1/System/sps.sub, KRC/R1/TP/AutomationCore/automationcoreroutines.dat, KRC/R1/System/$config.dat</t>
        </is>
      </c>
      <c r="H13" s="5" t="inlineStr">
        <is>
          <t>• En el respaldo ninguna línea ejecutable del integrador fuera de un inline form KUKA usa $IN[n]/$OUT[n] literal (la auditoría lo revisa).
• El programa carga sin errores de compilación (captura del navegador del smartPAD sin módulos en rojo). Un ciclo completo en automático sale bien. Anotar fecha.</t>
        </is>
      </c>
      <c r="I13" s="5" t="inlineStr">
        <is>
          <t>F17, C23, F29</t>
        </is>
      </c>
      <c r="J13" s="6" t="inlineStr">
        <is>
          <t>Abierto</t>
        </is>
      </c>
      <c r="K13" s="6" t="inlineStr"/>
      <c r="L13" s="6" t="inlineStr"/>
      <c r="M13" s="6" t="inlineStr"/>
      <c r="N13" s="6" t="inlineStr"/>
      <c r="O13" s="7" t="inlineStr">
        <is>
          <t>Estándar Gestamp</t>
        </is>
      </c>
      <c r="P13" s="7" t="inlineStr">
        <is>
          <t>2026-10-11</t>
        </is>
      </c>
      <c r="Q13" s="7" t="inlineStr">
        <is>
          <t>Gestamp usa inline forms estándar con $IN/$OUT numéricos: eso se acepta. Su lógica escrita a mano es el paquete NutWeld, con señales declaradas por nombre. En R20 solo quedaron números en módulos sobrantes y textos de mensaje (G12 cerrado allá).</t>
        </is>
      </c>
    </row>
    <row r="14">
      <c r="A14" s="2" t="inlineStr">
        <is>
          <t>G13</t>
        </is>
      </c>
      <c r="B14" s="3" t="inlineStr">
        <is>
          <t>Gestamp #13</t>
        </is>
      </c>
      <c r="C14" s="4" t="inlineStr">
        <is>
          <t>Medio</t>
        </is>
      </c>
      <c r="D14" s="3" t="inlineStr">
        <is>
          <t>Código simplificado (nut present en una línea, duplicados fuera)
Gestamp: "Poor programming (10 lines for nut present)"</t>
        </is>
      </c>
      <c r="E14" s="5" t="inlineStr">
        <is>
          <t>Código + prueba en celda</t>
        </is>
      </c>
      <c r="F14" s="5" t="inlineStr">
        <is>
          <t>Programador robot (prueba en celda)</t>
        </is>
      </c>
      <c r="G14" s="5"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5" t="inlineStr">
        <is>
          <t>•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5" t="inlineStr">
        <is>
          <t>F28, F03, F31</t>
        </is>
      </c>
      <c r="J14" s="6" t="inlineStr">
        <is>
          <t>Abierto</t>
        </is>
      </c>
      <c r="K14" s="6" t="inlineStr"/>
      <c r="L14" s="6" t="inlineStr"/>
      <c r="M14" s="6" t="inlineStr"/>
      <c r="N14" s="6" t="inlineStr"/>
      <c r="O14" s="7" t="inlineStr">
        <is>
          <t>Estándar Gestamp</t>
        </is>
      </c>
      <c r="P14" s="7" t="inlineStr">
        <is>
          <t>2026-10-11</t>
        </is>
      </c>
      <c r="Q14" s="7" t="inlineStr">
        <is>
          <t>Gestamp revisa las tuercas en un solo IF con WAIT SEC 0.2 antes de leer.</t>
        </is>
      </c>
    </row>
    <row r="15">
      <c r="A15" s="2" t="inlineStr">
        <is>
          <t>G14</t>
        </is>
      </c>
      <c r="B15" s="3" t="inlineStr">
        <is>
          <t>Gestamp #14</t>
        </is>
      </c>
      <c r="C15" s="4" t="inlineStr">
        <is>
          <t>Medio</t>
        </is>
      </c>
      <c r="D15" s="3" t="inlineStr">
        <is>
          <t>Revisar gripper vacío antes del comando de gripper
Gestamp: "Gripper opened before the part control check"</t>
        </is>
      </c>
      <c r="E15" s="5" t="inlineStr">
        <is>
          <t>Código + prueba en celda</t>
        </is>
      </c>
      <c r="F15" s="5" t="inlineStr">
        <is>
          <t>Programador robot (prueba en celda)</t>
        </is>
      </c>
      <c r="G15" s="5" t="inlineStr">
        <is>
          <t>KRC/R1/Program/StylePicks/Options/style1pick1opt1.src, KRC/R1/Program/StylePicks/Options/style1pick1opt2.src, KRC/R1/Program/StylePicks/Options/style1pick1opt1AutoRR.src</t>
        </is>
      </c>
      <c r="H15" s="5" t="inlineStr">
        <is>
          <t>• En los tres picks la espera de gripper vacío está antes del primer comando de gripper.
• Prueba en T1: con una pieza en el gripper al iniciar el pick, el robot se queda en la espera sin mover el gripper. Anotar fecha.</t>
        </is>
      </c>
      <c r="I15" s="5" t="inlineStr"/>
      <c r="J15" s="6" t="inlineStr">
        <is>
          <t>Abierto</t>
        </is>
      </c>
      <c r="K15" s="6" t="inlineStr"/>
      <c r="L15" s="6" t="inlineStr"/>
      <c r="M15" s="6" t="inlineStr"/>
      <c r="N15" s="6" t="inlineStr"/>
      <c r="O15" s="7" t="inlineStr">
        <is>
          <t>Estándar Gestamp</t>
        </is>
      </c>
      <c r="P15" s="7" t="inlineStr">
        <is>
          <t>2026-10-11</t>
        </is>
      </c>
      <c r="Q15" s="7" t="inlineStr">
        <is>
          <t>Gestamp revisa el estado del gripper (cilindros, pieza ausente) antes de mandarlo. En R20 sigue abierto con el mismo cambio.</t>
        </is>
      </c>
    </row>
    <row r="16">
      <c r="A16" s="2" t="inlineStr">
        <is>
          <t>G15</t>
        </is>
      </c>
      <c r="B16" s="3" t="inlineStr">
        <is>
          <t>Gestamp #15</t>
        </is>
      </c>
      <c r="C16" s="12" t="inlineStr">
        <is>
          <t>Bajo</t>
        </is>
      </c>
      <c r="D16" s="3" t="inlineStr">
        <is>
          <t>Nombres, variables y comentarios en inglés
Gestamp: "Names, variables and comments not in English"</t>
        </is>
      </c>
      <c r="E16" s="5" t="inlineStr">
        <is>
          <t>Código</t>
        </is>
      </c>
      <c r="F16" s="5" t="inlineStr">
        <is>
          <t>Programador robot (prueba en celda)</t>
        </is>
      </c>
      <c r="G16" s="5"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5"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El programa carga sin errores de compilación (captura del navegador del smartPAD sin módulos en rojo). Un ciclo completo en automático sale bien. Anotar fecha.</t>
        </is>
      </c>
      <c r="I16" s="5" t="inlineStr">
        <is>
          <t>C26, F36</t>
        </is>
      </c>
      <c r="J16" s="6" t="inlineStr">
        <is>
          <t>Abierto</t>
        </is>
      </c>
      <c r="K16" s="6" t="inlineStr"/>
      <c r="L16" s="6" t="inlineStr"/>
      <c r="M16" s="6" t="inlineStr"/>
      <c r="N16" s="6" t="inlineStr"/>
      <c r="O16" s="7" t="inlineStr">
        <is>
          <t>Estándar Gestamp</t>
        </is>
      </c>
      <c r="P16" s="7" t="inlineStr">
        <is>
          <t>2026-10-11</t>
        </is>
      </c>
      <c r="Q16" s="7" t="inlineStr">
        <is>
          <t>Como en R20: NUT_STAR es error de dedo, no español, y no impide el cierre.</t>
        </is>
      </c>
    </row>
    <row r="17">
      <c r="A17" s="2" t="inlineStr">
        <is>
          <t>G16</t>
        </is>
      </c>
      <c r="B17" s="3" t="inlineStr">
        <is>
          <t>Gestamp #16</t>
        </is>
      </c>
      <c r="C17" s="4" t="inlineStr">
        <is>
          <t>Medio</t>
        </is>
      </c>
      <c r="D17" s="3" t="inlineStr">
        <is>
          <t>Constantes para límites de carrera, presiones y tiempos
Gestamp: "NO variables for e.g. stroke limits"</t>
        </is>
      </c>
      <c r="E17" s="5" t="inlineStr">
        <is>
          <t>Código + prueba en celda</t>
        </is>
      </c>
      <c r="F17" s="5" t="inlineStr">
        <is>
          <t>Programador robot (prueba en celda)</t>
        </is>
      </c>
      <c r="G17" s="5" t="inlineStr">
        <is>
          <t>KRC/R1/System/$config.dat, KRC/R1/Program/Centerline/centerline_weld.src, KRC/R1/Program/Centerline/CENTERLINE_HOME.src</t>
        </is>
      </c>
      <c r="H17" s="5" t="inlineStr">
        <is>
          <t>• No quedan esos números en líneas ejecutables de CENTERLINE_WELD / CENTERLINE_HOME.
• Un ciclo de soldadura completo en automático; valores leídos en el display de variables iguales a los del fold CENTERLINE CONTROL. Anotar fecha.</t>
        </is>
      </c>
      <c r="I17" s="5" t="inlineStr">
        <is>
          <t>F16, F44, F41</t>
        </is>
      </c>
      <c r="J17" s="6" t="inlineStr">
        <is>
          <t>Abierto</t>
        </is>
      </c>
      <c r="K17" s="6" t="inlineStr"/>
      <c r="L17" s="6" t="inlineStr"/>
      <c r="M17" s="6" t="inlineStr"/>
      <c r="N17" s="6" t="inlineStr"/>
      <c r="O17" s="7" t="inlineStr">
        <is>
          <t>Estándar Gestamp</t>
        </is>
      </c>
      <c r="P17" s="7" t="inlineStr">
        <is>
          <t>2026-10-11</t>
        </is>
      </c>
      <c r="Q17" s="7" t="inlineStr">
        <is>
          <t>Gestamp guarda los parámetros de soldadura en datos (nutwelddata.dat). En R20 se pasaron a $config.dat.</t>
        </is>
      </c>
    </row>
    <row r="18">
      <c r="A18" s="2" t="inlineStr">
        <is>
          <t>G17</t>
        </is>
      </c>
      <c r="B18" s="3" t="inlineStr">
        <is>
          <t>Gestamp #17</t>
        </is>
      </c>
      <c r="C18" s="12" t="inlineStr">
        <is>
          <t>Bajo</t>
        </is>
      </c>
      <c r="D18" s="3" t="inlineStr">
        <is>
          <t>Lógica Nut_weld_Retry inútil
Gestamp: "Nut_weld_Retry logic useless"</t>
        </is>
      </c>
      <c r="E18" s="5" t="inlineStr">
        <is>
          <t>Código</t>
        </is>
      </c>
      <c r="F18" s="5" t="inlineStr">
        <is>
          <t>Programador robot (prueba en celda)</t>
        </is>
      </c>
      <c r="G18" s="5" t="inlineStr">
        <is>
          <t>KRC/R1/Program/StyleApps/Options/style1app1opt1.src, KRC/R1/Program/StyleApps/Options/style1app1opt2.src, KRC/R1/Program/StyleApps/Options/style1app1opt3.src, KRC/R1/System/$config.dat</t>
        </is>
      </c>
      <c r="H18" s="5" t="inlineStr">
        <is>
          <t>• NUT_WELD_RETRY y RETRY_NUT1 no aparecen en el respaldo.
• Un ciclo completo en automático con las 3 tuercas, sin errores. Anotar fecha.</t>
        </is>
      </c>
      <c r="I18" s="5" t="inlineStr">
        <is>
          <t>F24</t>
        </is>
      </c>
      <c r="J18" s="6" t="inlineStr">
        <is>
          <t>Abierto</t>
        </is>
      </c>
      <c r="K18" s="6" t="inlineStr"/>
      <c r="L18" s="6" t="inlineStr"/>
      <c r="M18" s="6" t="inlineStr"/>
      <c r="N18" s="6" t="inlineStr"/>
      <c r="O18" s="7" t="inlineStr">
        <is>
          <t>Estándar Gestamp</t>
        </is>
      </c>
      <c r="P18" s="7" t="inlineStr">
        <is>
          <t>2026-10-11</t>
        </is>
      </c>
      <c r="Q18" s="7" t="inlineStr">
        <is>
          <t>El retry de Gestamp sí funciona (REPEAT UNTIL bNutFeedOK, tope nMaxDumpNutRetries=10). El nuestro nunca se activa: lo más simple es borrarlo, como en R20.</t>
        </is>
      </c>
    </row>
    <row r="19">
      <c r="A19" s="9" t="inlineStr">
        <is>
          <t>G18</t>
        </is>
      </c>
      <c r="B19" s="10" t="inlineStr">
        <is>
          <t>Gestamp #18</t>
        </is>
      </c>
      <c r="C19" s="13" t="inlineStr">
        <is>
          <t>Alto</t>
        </is>
      </c>
      <c r="D19" s="10" t="inlineStr">
        <is>
          <t>Sin chequeo de soldadura buena
Gestamp: "NO check for Weld OK, just weld finished"</t>
        </is>
      </c>
      <c r="E19" s="10" t="inlineStr">
        <is>
          <t>Código + prueba en celda</t>
        </is>
      </c>
      <c r="F19" s="10" t="inlineStr">
        <is>
          <t>Programador robot / Puesta en marcha</t>
        </is>
      </c>
      <c r="G19" s="10" t="inlineStr">
        <is>
          <t>KRC/R1/Program/Centerline/centerline_weld.src, KRC/R1/Program/Styles/Options/style1opt1.src</t>
        </is>
      </c>
      <c r="H19" s="10" t="inlineStr">
        <is>
          <t>• Se cumplen los criterios de F08.</t>
        </is>
      </c>
      <c r="I19" s="10" t="inlineStr">
        <is>
          <t>F08</t>
        </is>
      </c>
      <c r="J19" s="10" t="inlineStr">
        <is>
          <t>Aceptado sin cambio</t>
        </is>
      </c>
      <c r="K19" s="10" t="inlineStr"/>
      <c r="L19" s="10" t="inlineStr"/>
      <c r="M19" s="10" t="inlineStr"/>
      <c r="N19" s="10" t="inlineStr"/>
      <c r="O19" s="10" t="inlineStr">
        <is>
          <t>Estándar Gestamp</t>
        </is>
      </c>
      <c r="P19" s="10" t="inlineStr">
        <is>
          <t>2026-10-11</t>
        </is>
      </c>
      <c r="Q19" s="10" t="inlineStr">
        <is>
          <t>El paquete NutWeld de Gestamp (WeldInitiate) solo espera WeldComplete, con timeout, reintentos y diálogo; no lee falla ni weld OK. El nuestro también toma WeldComplete como soldadura buena: en weld OK es igual a su respaldo. Aceptado sin cambio; el cierre final lo acepta Gestamp. El timeout y el mensaje de esa espera siguen en F15/C21.</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2" t="inlineStr">
        <is>
          <t>G20</t>
        </is>
      </c>
      <c r="B21" s="3" t="inlineStr">
        <is>
          <t>Gestamp #20</t>
        </is>
      </c>
      <c r="C21" s="8" t="inlineStr">
        <is>
          <t>Alto</t>
        </is>
      </c>
      <c r="D21" s="3" t="inlineStr">
        <is>
          <t>Request_next_nut y NUT_START fuera de los inline forms
Gestamp: "Change of xP0 deletes Request_next_nut inside inline forms"</t>
        </is>
      </c>
      <c r="E21" s="5" t="inlineStr">
        <is>
          <t>Código + prueba en celda</t>
        </is>
      </c>
      <c r="F21" s="5" t="inlineStr">
        <is>
          <t>Programador robot (prueba en celda)</t>
        </is>
      </c>
      <c r="G21"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5" t="inlineStr">
        <is>
          <t>• Ningún fold de inline form contiene líneas escritas a mano (la auditoría lo revisa).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5" t="inlineStr">
        <is>
          <t>F32, F14</t>
        </is>
      </c>
      <c r="J21" s="6" t="inlineStr">
        <is>
          <t>Abierto</t>
        </is>
      </c>
      <c r="K21" s="6" t="inlineStr"/>
      <c r="L21" s="6" t="inlineStr"/>
      <c r="M21" s="6" t="inlineStr"/>
      <c r="N21" s="6" t="inlineStr"/>
      <c r="O21" s="7" t="inlineStr">
        <is>
          <t>Estándar Gestamp</t>
        </is>
      </c>
      <c r="P21" s="7" t="inlineStr">
        <is>
          <t>2026-10-11</t>
        </is>
      </c>
      <c r="Q21" s="7" t="inlineStr">
        <is>
          <t>Gestamp no mete código propio dentro de los folds. En R20 se cerró cuando Request_next_nut y NUT_START quedaron fuera.</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22" s="5" t="inlineStr">
        <is>
          <t>F19, G08</t>
        </is>
      </c>
      <c r="J22" s="6" t="inlineStr">
        <is>
          <t>Abierto</t>
        </is>
      </c>
      <c r="K22" s="6" t="inlineStr"/>
      <c r="L22" s="6" t="inlineStr"/>
      <c r="M22" s="6" t="inlineStr"/>
      <c r="N22" s="6" t="inlineStr"/>
      <c r="O22" s="7" t="inlineStr">
        <is>
          <t>Estándar Gestamp</t>
        </is>
      </c>
      <c r="P22" s="7" t="inlineStr">
        <is>
          <t>2026-10-11</t>
        </is>
      </c>
      <c r="Q22" s="7" t="inlineStr">
        <is>
          <t>Gestamp (Style1App2Opt4): FAILED si hay cualquier tuerca (OR), PASSED si no hay ninguna; los resultados los borra solo MaintainSystem, nunca el drop. El nuestro da FAILED solo con las 3 tuercas (style1app2opt1.src:147-154) y el drop red rabbit borra do141/do142 dentro del fold DropOff[2] Reset (style1drop1opt2AutoRR.src:154-155): el PLC puede no ver el resultado.</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Abierto</t>
        </is>
      </c>
      <c r="K23" s="6" t="inlineStr"/>
      <c r="L23" s="6" t="inlineStr"/>
      <c r="M23" s="6" t="inlineStr"/>
      <c r="N23" s="6" t="inlineStr"/>
      <c r="O23" s="7" t="inlineStr">
        <is>
          <t>Estándar Gestamp</t>
        </is>
      </c>
      <c r="P23" s="7" t="inlineStr">
        <is>
          <t>2026-10-11</t>
        </is>
      </c>
      <c r="Q23" s="7" t="inlineStr">
        <is>
          <t>Gestamp nunca mandó su lista. Comparado con NUT07_10R1: C01 y C19 cumplen (AutomationCore_BKG activo, mismo código que R20), C14 queda solo en F47 y C12 se acepta (Gestamp no usa pounce en el ciclo). Quedan F12 (señales de NutWeld_BKG que usa el PLC), F20 (liberar Application 1 en el rechazo por nut check), F21 (5 forms con AC_CmdParam distinto a la llamada) y F46 (Work Complete).</t>
        </is>
      </c>
    </row>
    <row r="24">
      <c r="A24" s="15" t="inlineStr">
        <is>
          <t>F01</t>
        </is>
      </c>
      <c r="B24" s="5" t="inlineStr">
        <is>
          <t>Ethos</t>
        </is>
      </c>
      <c r="C24" s="16" t="inlineStr">
        <is>
          <t>Crítico</t>
        </is>
      </c>
      <c r="D24" s="5" t="inlineStr">
        <is>
          <t>Entrada al pedestal sin confirmar gun abierto, clamp abierto y QFP regresado</t>
        </is>
      </c>
      <c r="E24" s="5" t="inlineStr">
        <is>
          <t>Código + prueba en celda</t>
        </is>
      </c>
      <c r="F24" s="5" t="inlineStr">
        <is>
          <t>Programador robot</t>
        </is>
      </c>
      <c r="G24" s="5" t="inlineStr">
        <is>
          <t>KRC/R1/Program/StyleApps/Options/style1app1opt1.src, KRC/R1/Program/StyleApps/Options/style1app1opt2.src, KRC/R1/Program/StyleApps/Options/style1app1opt3.src, KRC/R1/Program/Centerline/PRELOAD.src, KRC/R1/Program/Centerline/centerline_weld.src</t>
        </is>
      </c>
      <c r="H24" s="5"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ningún encabezado de inline form ni línea dentro de un fold de form cambia sin estar declarado (F32, F21, F31).</t>
        </is>
      </c>
      <c r="I24" s="5" t="inlineStr"/>
      <c r="J24" s="6" t="inlineStr">
        <is>
          <t>Abierto</t>
        </is>
      </c>
      <c r="K24" s="6" t="inlineStr"/>
      <c r="L24" s="6" t="inlineStr"/>
      <c r="M24" s="6" t="inlineStr"/>
      <c r="N24" s="6" t="inlineStr"/>
      <c r="O24" s="7" t="inlineStr">
        <is>
          <t>Integrado - correcciones de la revisión</t>
        </is>
      </c>
      <c r="P24" s="7" t="inlineStr">
        <is>
          <t>2026-10-05</t>
        </is>
      </c>
      <c r="Q24" s="7" t="inlineStr">
        <is>
          <t>Versión integrada sobre el respaldo de las 14:46: INTERRUPT ON 20-22 antes de cada GUN_OPEN_CHECK (entrada y después de soldar) y mensaje de estado en GUN_OPEN_LOST después del reconocimiento. Sigue pendiente clamp abierto / QFP regresado antes de entrar.</t>
        </is>
      </c>
    </row>
    <row r="25">
      <c r="A25" s="9" t="inlineStr">
        <is>
          <t>F02</t>
        </is>
      </c>
      <c r="B25" s="10" t="inlineStr">
        <is>
          <t>Ethos</t>
        </is>
      </c>
      <c r="C25" s="13" t="inlineStr">
        <is>
          <t>Alto</t>
        </is>
      </c>
      <c r="D25" s="10" t="inlineStr">
        <is>
          <t>Options 2, 7 y 8 no evalúan el sensor de tuercas: solo decide la cámara</t>
        </is>
      </c>
      <c r="E25" s="10" t="inlineStr">
        <is>
          <t>Código + prueba en celda</t>
        </is>
      </c>
      <c r="F25" s="10" t="inlineStr">
        <is>
          <t>Programador robot + Gestamp controles</t>
        </is>
      </c>
      <c r="G25" s="10" t="inlineStr">
        <is>
          <t>KRC/R1/Program/StyleApps/Options/style1app2opt1.src, KRC/R1/Program/StyleApps/Options/style1app2opt2.src, KRC/R1/Program/Styles/style_1.src, KRC/R1/Program/Styles/Options/style1opt1.src</t>
        </is>
      </c>
      <c r="H25" s="10"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ningún encabezado de inline form ni línea dentro de un fold de form cambia sin estar declarado (F32, F21, F31).</t>
        </is>
      </c>
      <c r="I25" s="10" t="inlineStr">
        <is>
          <t>G07</t>
        </is>
      </c>
      <c r="J25" s="10" t="inlineStr">
        <is>
          <t>Se cierra con otro punto</t>
        </is>
      </c>
      <c r="K25" s="10" t="inlineStr"/>
      <c r="L25" s="10" t="inlineStr"/>
      <c r="M25" s="10" t="inlineStr"/>
      <c r="N25" s="10" t="inlineStr"/>
      <c r="O25" s="10" t="inlineStr">
        <is>
          <t>Cambio de base</t>
        </is>
      </c>
      <c r="P25" s="10" t="inlineStr">
        <is>
          <t>2026-10-11</t>
        </is>
      </c>
      <c r="Q25" s="10" t="inlineStr">
        <is>
          <t>Base = programa del programador (respaldo del 2026-10-05 14:46). El nut check ya evalúa las options 1, 2, 7 y 8 y escribe bScrapGE4 TRUE o FALSE (style1app2opt1.src:140-145). Queda la definición de options: G07.</t>
        </is>
      </c>
    </row>
    <row r="26">
      <c r="A26" s="15"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Auditoría - sin cambio</t>
        </is>
      </c>
      <c r="P26" s="7" t="inlineStr">
        <is>
          <t>2026-10-05</t>
        </is>
      </c>
      <c r="Q26" s="7" t="inlineStr">
        <is>
          <t>PARTPRESENTn sigue poniéndose solo en TRUE y se lee antes del WAIT SEC 0.2; se limpia al final de Style1Opt1, no al inicio.</t>
        </is>
      </c>
    </row>
    <row r="27">
      <c r="A27" s="15"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5"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5"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5"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Auditoría - avance en el original</t>
        </is>
      </c>
      <c r="P30" s="7" t="inlineStr">
        <is>
          <t>2026-10-05</t>
        </is>
      </c>
      <c r="Q30" s="7" t="inlineStr">
        <is>
          <t>En el original del programador los dos timers se reinician después del HALT (igual que la versión de oficina). Sigue sin mensaje y sin do004ProcessFault: el criterio no se cumple completo.</t>
        </is>
      </c>
    </row>
    <row r="31">
      <c r="A31" s="9" t="inlineStr">
        <is>
          <t>F08</t>
        </is>
      </c>
      <c r="B31" s="10" t="inlineStr">
        <is>
          <t>Calvin #2</t>
        </is>
      </c>
      <c r="C31" s="13" t="inlineStr">
        <is>
          <t>Alto</t>
        </is>
      </c>
      <c r="D31" s="10" t="inlineStr">
        <is>
          <t>Resultado de soldadura Bosch no evaluado: weld complete se toma como soldadura buena</t>
        </is>
      </c>
      <c r="E31" s="10" t="inlineStr">
        <is>
          <t>Código + prueba en celda</t>
        </is>
      </c>
      <c r="F31" s="10" t="inlineStr">
        <is>
          <t>Programador robot + Gestamp controles</t>
        </is>
      </c>
      <c r="G31" s="10" t="inlineStr">
        <is>
          <t>KRC/R1/Program/Centerline/centerline_weld.src, KRC/R1/Program/Styles/Options/style1opt1.src</t>
        </is>
      </c>
      <c r="H31" s="10"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ningún encabezado de inline form ni línea dentro de un fold de form cambia sin estar declarado (F32, F21, F31).</t>
        </is>
      </c>
      <c r="I31" s="10" t="inlineStr">
        <is>
          <t>F44</t>
        </is>
      </c>
      <c r="J31" s="10" t="inlineStr">
        <is>
          <t>Aceptado sin cambio</t>
        </is>
      </c>
      <c r="K31" s="10" t="inlineStr"/>
      <c r="L31" s="10" t="inlineStr"/>
      <c r="M31" s="10" t="inlineStr"/>
      <c r="N31" s="10" t="inlineStr"/>
      <c r="O31" s="10" t="inlineStr">
        <is>
          <t>Estándar Gestamp</t>
        </is>
      </c>
      <c r="P31" s="10" t="inlineStr">
        <is>
          <t>2026-10-11</t>
        </is>
      </c>
      <c r="Q31" s="10" t="inlineStr">
        <is>
          <t>El paquete NutWeld de Gestamp (WeldInitiate) solo espera WeldComplete, con timeout, reintentos y diálogo; no lee falla ni weld OK. El nuestro también toma WeldComplete como soldadura buena: en weld OK es igual a su respaldo. Aceptado sin cambio; el cierre final lo acepta Gestamp. El timeout y el mensaje de esa espera siguen en F15/C21.</t>
        </is>
      </c>
    </row>
    <row r="32">
      <c r="A32" s="15"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Evidencia parcial</t>
        </is>
      </c>
      <c r="P32" s="7" t="inlineStr">
        <is>
          <t>2026-10-05</t>
        </is>
      </c>
      <c r="Q32" s="7" t="inlineStr">
        <is>
          <t>Respaldo 14:46: nWaterFlow = 233 (23.3 l/min) con agua normal en este robot, arriba del mínimo de 15 l/min. Falta la prueba con agua cerrada y la espera antes del weld start.</t>
        </is>
      </c>
    </row>
    <row r="33">
      <c r="A33" s="15"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5" t="inlineStr">
        <is>
          <t>F11</t>
        </is>
      </c>
      <c r="B34" s="5" t="inlineStr">
        <is>
          <t>Ethos</t>
        </is>
      </c>
      <c r="C34" s="16"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5"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ningún encabezado de inline form ni línea dentro de un fold de form cambia sin estar declarado (F32, F21, F31).</t>
        </is>
      </c>
      <c r="I35" s="5" t="inlineStr">
        <is>
          <t>F17, F35</t>
        </is>
      </c>
      <c r="J35" s="6" t="inlineStr">
        <is>
          <t>Abierto</t>
        </is>
      </c>
      <c r="K35" s="6" t="inlineStr"/>
      <c r="L35" s="6" t="inlineStr"/>
      <c r="M35" s="6" t="inlineStr"/>
      <c r="N35" s="6" t="inlineStr"/>
      <c r="O35" s="7" t="inlineStr">
        <is>
          <t>Estándar Gestamp</t>
        </is>
      </c>
      <c r="P35" s="7" t="inlineStr">
        <is>
          <t>2026-10-11</t>
        </is>
      </c>
      <c r="Q35" s="7" t="inlineStr">
        <is>
          <t>AutomationCore_BKG activo, como en Gestamp. NutWeld_BKG sigue apagado (en Gestamp está activo): faltan las señales del soldador que usa el PLC. En R20 el programador las replica en sps.sub "como NUT07". Se cierra cuando el PLC recibe las señales que usa.</t>
        </is>
      </c>
    </row>
    <row r="36">
      <c r="A36" s="15"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Avance parcial (F52)</t>
        </is>
      </c>
      <c r="P36" s="7" t="inlineStr">
        <is>
          <t>2026-10-07</t>
        </is>
      </c>
      <c r="Q36" s="7" t="inlineStr">
        <is>
          <t>El paso 20 ya termina con el QFP regresado confirmado ($IN[482] ON, $IN[470] OFF) en vez de 800 ms. Timeouts, falla y feed complete siguen pendientes.</t>
        </is>
      </c>
    </row>
    <row r="37">
      <c r="A37" s="15"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Alta (Ethos)</t>
        </is>
      </c>
      <c r="P37" s="7" t="inlineStr">
        <is>
          <t>2026-10-04</t>
        </is>
      </c>
      <c r="Q37" s="7" t="inlineStr">
        <is>
          <t>Revisión Ethos del respaldo 658424 (v431_03_10_r1.zip del 2026-10-02).</t>
        </is>
      </c>
    </row>
    <row r="38">
      <c r="A38" s="15"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5"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5"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5"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5"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42" s="5" t="inlineStr">
        <is>
          <t>F46, F31, F40, F03</t>
        </is>
      </c>
      <c r="J42" s="6" t="inlineStr">
        <is>
          <t>Abierto</t>
        </is>
      </c>
      <c r="K42" s="6" t="inlineStr"/>
      <c r="L42" s="6" t="inlineStr"/>
      <c r="M42" s="6" t="inlineStr"/>
      <c r="N42" s="6" t="inlineStr"/>
      <c r="O42" s="7" t="inlineStr">
        <is>
          <t>Estándar Gestamp</t>
        </is>
      </c>
      <c r="P42" s="7" t="inlineStr">
        <is>
          <t>2026-10-11</t>
        </is>
      </c>
      <c r="Q42" s="7" t="inlineStr">
        <is>
          <t>Gestamp (Style1App2Opt4): FAILED si hay cualquier tuerca (OR), PASSED si no hay ninguna; los resultados los borra solo MaintainSystem, nunca el drop. El nuestro da FAILED solo con las 3 tuercas (style1app2opt1.src:147-154) y el drop red rabbit borra do141/do142 dentro del fold DropOff[2] Reset (style1drop1opt2AutoRR.src:154-155): el PLC puede no ver el resultado.</t>
        </is>
      </c>
    </row>
    <row r="43">
      <c r="A43" s="15" t="inlineStr">
        <is>
          <t>F20</t>
        </is>
      </c>
      <c r="B43" s="5" t="inlineStr">
        <is>
          <t>Ethos</t>
        </is>
      </c>
      <c r="C43" s="4" t="inlineStr">
        <is>
          <t>Medio</t>
        </is>
      </c>
      <c r="D43" s="5" t="inlineStr">
        <is>
          <t>Rechazo por nut check: Application 1 sin liberar</t>
        </is>
      </c>
      <c r="E43" s="5" t="inlineStr">
        <is>
          <t>Código + prueba en celda</t>
        </is>
      </c>
      <c r="F43" s="5" t="inlineStr">
        <is>
          <t>Programador robot / Gestamp controles</t>
        </is>
      </c>
      <c r="G43" s="5" t="inlineStr">
        <is>
          <t>KRC/R1/Program/Utilities/RejectGE4.src, KRC/R1/Program/Styles/Options/style1opt1.src, KRC/R1/Program/StyleApps/Options/style1app2opt2.src</t>
        </is>
      </c>
      <c r="H43" s="5" t="inlineStr">
        <is>
          <t>• En Style1Opt1, en el camino de rechazo por nut check se ejecuta AC_Application(1,TRUE) (o lo que pone $OUT[70] do070ApplicationClear1 ON) antes de que termine el ciclo; todo camino que pasó por AC_ApplicationCheck(1) tiene su liberación.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ningún encabezado de inline form ni línea dentro de un fold de form cambia sin estar declarado (F32, F21, F31).</t>
        </is>
      </c>
      <c r="I43" s="5" t="inlineStr">
        <is>
          <t>F21</t>
        </is>
      </c>
      <c r="J43" s="6" t="inlineStr">
        <is>
          <t>Abierto</t>
        </is>
      </c>
      <c r="K43" s="6" t="inlineStr"/>
      <c r="L43" s="6" t="inlineStr"/>
      <c r="M43" s="6" t="inlineStr"/>
      <c r="N43" s="6" t="inlineStr"/>
      <c r="O43" s="7" t="inlineStr">
        <is>
          <t>Estándar Gestamp</t>
        </is>
      </c>
      <c r="P43" s="7" t="inlineStr">
        <is>
          <t>2026-10-11</t>
        </is>
      </c>
      <c r="Q43" s="7" t="inlineStr">
        <is>
          <t>El RejectGE4 de Gestamp tampoco pide permiso de drop-off: se quita ese requisito (igual que R20). Queda liberar Application 1 en el rechazo por nut check; en Gestamp cada programa de revisión hace su propio AC_ApplicationCheck / AC_Application.</t>
        </is>
      </c>
    </row>
    <row r="44">
      <c r="A44" s="15"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En todos los forms de AutomationCore el AC_CmdParam oculto es igual al número de la llamada (convención del respaldo de Gestamp); la auditoría lo revisa.
• Después de corregir, un ciclo de cada estación en T1 sin cambio de pickup, application ni drop-off. Anotar fecha.</t>
        </is>
      </c>
      <c r="I44" s="5" t="inlineStr">
        <is>
          <t>F32</t>
        </is>
      </c>
      <c r="J44" s="6" t="inlineStr">
        <is>
          <t>Abierto</t>
        </is>
      </c>
      <c r="K44" s="6" t="inlineStr"/>
      <c r="L44" s="6" t="inlineStr"/>
      <c r="M44" s="6" t="inlineStr"/>
      <c r="N44" s="6" t="inlineStr"/>
      <c r="O44" s="7" t="inlineStr">
        <is>
          <t>Estándar Gestamp</t>
        </is>
      </c>
      <c r="P44" s="7" t="inlineStr">
        <is>
          <t>2026-10-11</t>
        </is>
      </c>
      <c r="Q44" s="7" t="inlineStr">
        <is>
          <t>En todos los forms AutomationCore del respaldo de Gestamp el AC_CmdParam oculto es igual al número de la llamada: esa es la convención y ya no hace falta la prueba con foto. En el nuestro no coinciden 5.</t>
        </is>
      </c>
    </row>
    <row r="45">
      <c r="A45" s="15"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5" t="inlineStr">
        <is>
          <t>F23</t>
        </is>
      </c>
      <c r="B46" s="5" t="inlineStr">
        <is>
          <t>Ethos</t>
        </is>
      </c>
      <c r="C46" s="12"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9" t="inlineStr">
        <is>
          <t>F24</t>
        </is>
      </c>
      <c r="B47" s="10" t="inlineStr">
        <is>
          <t>Calvin #27</t>
        </is>
      </c>
      <c r="C47" s="11" t="inlineStr">
        <is>
          <t>Bajo</t>
        </is>
      </c>
      <c r="D47" s="10" t="inlineStr">
        <is>
          <t>Camino de retry de soldadura muerto: NUT_WELD_RETRY nunca es TRUE</t>
        </is>
      </c>
      <c r="E47" s="10" t="inlineStr">
        <is>
          <t>Código</t>
        </is>
      </c>
      <c r="F47" s="10" t="inlineStr">
        <is>
          <t>Programador robot (prueba en celda)</t>
        </is>
      </c>
      <c r="G47" s="10" t="inlineStr">
        <is>
          <t>KRC/R1/Program/StyleApps/Options/style1app1opt1.src, KRC/R1/Program/StyleApps/Options/style1app1opt2.src, KRC/R1/Program/StyleApps/Options/style1app1opt3.src, KRC/R1/System/$config.dat</t>
        </is>
      </c>
      <c r="H47" s="10" t="inlineStr">
        <is>
          <t>• Decisión anotada: A (borrar), Ethos, 2026-10-04, por el punto 17 de Gestamp.
• En KRC/R1 no aparece NUT_WELD_RETRY ni RETRY_NUT1.
• Un ciclo completo en automático con las 3 tuercas sin errores. Anotar fecha.</t>
        </is>
      </c>
      <c r="I47" s="10" t="inlineStr">
        <is>
          <t>G17</t>
        </is>
      </c>
      <c r="J47" s="10" t="inlineStr">
        <is>
          <t>Se cierra con otro punto</t>
        </is>
      </c>
      <c r="K47" s="10" t="inlineStr"/>
      <c r="L47" s="10" t="inlineStr"/>
      <c r="M47" s="10" t="inlineStr"/>
      <c r="N47" s="10" t="inlineStr"/>
      <c r="O47" s="10" t="inlineStr">
        <is>
          <t>Cambio de base</t>
        </is>
      </c>
      <c r="P47" s="10" t="inlineStr">
        <is>
          <t>2026-10-11</t>
        </is>
      </c>
      <c r="Q47" s="10" t="inlineStr">
        <is>
          <t>Base = programa del programador (respaldo del 2026-10-05 14:46). El camino de retry sigue muerto; se resuelve en G17.</t>
        </is>
      </c>
    </row>
    <row r="48">
      <c r="A48" s="15" t="inlineStr">
        <is>
          <t>F25</t>
        </is>
      </c>
      <c r="B48" s="5" t="inlineStr">
        <is>
          <t>Calvin #19</t>
        </is>
      </c>
      <c r="C48" s="12"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5" t="inlineStr">
        <is>
          <t>F26</t>
        </is>
      </c>
      <c r="B49" s="5" t="inlineStr">
        <is>
          <t>Ethos</t>
        </is>
      </c>
      <c r="C49" s="12"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Nota (F52)</t>
        </is>
      </c>
      <c r="P49" s="7" t="inlineStr">
        <is>
          <t>2026-10-07</t>
        </is>
      </c>
      <c r="Q49" s="7" t="inlineStr">
        <is>
          <t>PRELOAD ya no usa $TIMER[12]; la medición de tiempo ciclo usa $TIMER[20]. Dueños anotados en $config.dat.</t>
        </is>
      </c>
    </row>
    <row r="50">
      <c r="A50" s="15" t="inlineStr">
        <is>
          <t>F27</t>
        </is>
      </c>
      <c r="B50" s="5" t="inlineStr">
        <is>
          <t>Ethos</t>
        </is>
      </c>
      <c r="C50" s="12"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9" t="inlineStr">
        <is>
          <t>F28</t>
        </is>
      </c>
      <c r="B51" s="10" t="inlineStr">
        <is>
          <t>Ethos</t>
        </is>
      </c>
      <c r="C51" s="11" t="inlineStr">
        <is>
          <t>Bajo</t>
        </is>
      </c>
      <c r="D51" s="10" t="inlineStr">
        <is>
          <t>Sensor de tuerca leído al llegar al punto; el dwell iba después de la lectura</t>
        </is>
      </c>
      <c r="E51" s="10" t="inlineStr">
        <is>
          <t>Código + prueba en celda</t>
        </is>
      </c>
      <c r="F51" s="10" t="inlineStr">
        <is>
          <t>Programador robot (prueba en celda)</t>
        </is>
      </c>
      <c r="G51" s="10" t="inlineStr">
        <is>
          <t>KRC/R1/Program/StyleApps/Options/style1app2opt1.src</t>
        </is>
      </c>
      <c r="H51" s="10" t="inlineStr">
        <is>
          <t>• En style1app2opt1, en los tres bloques NUT CHECK, PARTPRESENTn se asigna después de WAIT SEC 0.2.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10" t="inlineStr">
        <is>
          <t>G13</t>
        </is>
      </c>
      <c r="J51" s="10" t="inlineStr">
        <is>
          <t>Se cierra con otro punto</t>
        </is>
      </c>
      <c r="K51" s="10" t="inlineStr"/>
      <c r="L51" s="10" t="inlineStr"/>
      <c r="M51" s="10" t="inlineStr"/>
      <c r="N51" s="10" t="inlineStr"/>
      <c r="O51" s="10" t="inlineStr">
        <is>
          <t>Cambio de base</t>
        </is>
      </c>
      <c r="P51" s="10" t="inlineStr">
        <is>
          <t>2026-10-11</t>
        </is>
      </c>
      <c r="Q51" s="10" t="inlineStr">
        <is>
          <t>Base = programa del programador (respaldo del 2026-10-05 14:46). El WAIT SEC 0.2 sigue después de leer $IN[227]; se resuelve en G13.</t>
        </is>
      </c>
    </row>
    <row r="52">
      <c r="A52" s="15" t="inlineStr">
        <is>
          <t>F29</t>
        </is>
      </c>
      <c r="B52" s="5" t="inlineStr">
        <is>
          <t>Ethos</t>
        </is>
      </c>
      <c r="C52" s="12"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5" t="inlineStr">
        <is>
          <t>F30</t>
        </is>
      </c>
      <c r="B53" s="5" t="inlineStr">
        <is>
          <t>Ethos</t>
        </is>
      </c>
      <c r="C53" s="12"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Prueba en celda: un ciclo bueno de estación 1, uno de estación 2, un rechazo por nut check y uno por cámara (si se puede provocar). Anotar fecha y resultado.</t>
        </is>
      </c>
      <c r="I53" s="5" t="inlineStr"/>
      <c r="J53" s="6" t="inlineStr">
        <is>
          <t>En proceso</t>
        </is>
      </c>
      <c r="K53" s="6" t="inlineStr"/>
      <c r="L53" s="6" t="inlineStr"/>
      <c r="M53" s="6" t="inlineStr"/>
      <c r="N53" s="6" t="inlineStr"/>
      <c r="O53" s="7" t="inlineStr">
        <is>
          <t>Cambio de base</t>
        </is>
      </c>
      <c r="P53" s="7" t="inlineStr">
        <is>
          <t>2026-10-11</t>
        </is>
      </c>
      <c r="Q53" s="7" t="inlineStr">
        <is>
          <t>Base = programa del programador (respaldo del 2026-10-05 14:46). Style1Opt1 (Styles/optiones/style1opt1.src) no tiene GOTO y cumple en código las tres propiedades: después de RejectGE4() no corre nada más, la estación 1 no corre la 2 y todos los caminos borran PARTPRESENT1..3. Falta la prueba en celda.</t>
        </is>
      </c>
    </row>
    <row r="54">
      <c r="A54" s="15"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9" t="inlineStr">
        <is>
          <t>F32</t>
        </is>
      </c>
      <c r="B55" s="10" t="inlineStr">
        <is>
          <t>Calvin #28</t>
        </is>
      </c>
      <c r="C55" s="14" t="inlineStr">
        <is>
          <t>Medio</t>
        </is>
      </c>
      <c r="D55" s="10" t="inlineStr">
        <is>
          <t>TRIGGERs y resets escritos a mano dentro de folds de inline form</t>
        </is>
      </c>
      <c r="E55" s="10" t="inlineStr">
        <is>
          <t>Código + prueba en celda</t>
        </is>
      </c>
      <c r="F55" s="10" t="inlineStr">
        <is>
          <t>Programador robot (prueba en celda)</t>
        </is>
      </c>
      <c r="G55" s="10"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10"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10" t="inlineStr">
        <is>
          <t>G20</t>
        </is>
      </c>
      <c r="J55" s="10" t="inlineStr">
        <is>
          <t>Se cierra con otro punto</t>
        </is>
      </c>
      <c r="K55" s="10" t="inlineStr"/>
      <c r="L55" s="10" t="inlineStr"/>
      <c r="M55" s="10" t="inlineStr"/>
      <c r="N55" s="10" t="inlineStr"/>
      <c r="O55" s="10" t="inlineStr">
        <is>
          <t>Cambio de base</t>
        </is>
      </c>
      <c r="P55" s="10" t="inlineStr">
        <is>
          <t>2026-10-11</t>
        </is>
      </c>
      <c r="Q55" s="10" t="inlineStr">
        <is>
          <t>Base = programa del programador (respaldo del 2026-10-05 14:46). Mismas líneas escritas a mano dentro de folds que G20.</t>
        </is>
      </c>
    </row>
    <row r="56">
      <c r="A56" s="15"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5" t="inlineStr">
        <is>
          <t>F34</t>
        </is>
      </c>
      <c r="B57" s="5" t="inlineStr">
        <is>
          <t>Ethos</t>
        </is>
      </c>
      <c r="C57" s="12"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5"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Comentarios del código cambiado según docs/CONVENTIONS.md (inglés, señal con dirección y nombre);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Severidad regresa a Medio</t>
        </is>
      </c>
      <c r="P58" s="7" t="inlineStr">
        <is>
          <t>2026-10-05</t>
        </is>
      </c>
      <c r="Q58" s="7" t="inlineStr">
        <is>
          <t>Con el background apagado en la versión integrada, $OUT[930] pegado ya no impide el Request to Enter. Sigue pendiente apagar $OUT[930] al final de la referencia de masterización.</t>
        </is>
      </c>
    </row>
    <row r="59">
      <c r="A59" s="15" t="inlineStr">
        <is>
          <t>F36</t>
        </is>
      </c>
      <c r="B59" s="5" t="inlineStr">
        <is>
          <t>Ethos</t>
        </is>
      </c>
      <c r="C59" s="12" t="inlineStr">
        <is>
          <t>Bajo</t>
        </is>
      </c>
      <c r="D59" s="5" t="inlineStr">
        <is>
          <t>$IN[227] declarado con dos nombres (NUT_PRESENT1, di227SensorCamera)</t>
        </is>
      </c>
      <c r="E59" s="5" t="inlineStr">
        <is>
          <t>Código</t>
        </is>
      </c>
      <c r="F59" s="5" t="inlineStr">
        <is>
          <t>Programador robot (prueba en celda)</t>
        </is>
      </c>
      <c r="G59" s="5" t="inlineStr">
        <is>
          <t>KRC/R1/System/$config.dat, KRC/R1/TP/AutomationCore/automationcoreroutines.dat, KRC/R1/Program/StyleApps/Options/style1app2opt1.src, KRC/R1/Program/Styles/Options/style1opt1.src, KRC/R1/Program/Styles/Options/Style1Opt10AutoRR.src</t>
        </is>
      </c>
      <c r="H59" s="5"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El programa carga sin errores de compilación (captura del navegador del smartPAD sin módulos en rojo). Un ciclo con option 1 lee las 3 tuercas (PARTPRESENT1..3 en TRUE en el display de variables). Anotar fecha.</t>
        </is>
      </c>
      <c r="I59" s="5" t="inlineStr">
        <is>
          <t>C28</t>
        </is>
      </c>
      <c r="J59" s="6" t="inlineStr">
        <is>
          <t>Abierto</t>
        </is>
      </c>
      <c r="K59" s="6" t="inlineStr"/>
      <c r="L59" s="6" t="inlineStr"/>
      <c r="M59" s="6" t="inlineStr"/>
      <c r="N59" s="6" t="inlineStr"/>
      <c r="O59" s="7" t="inlineStr">
        <is>
          <t>Cambio de base</t>
        </is>
      </c>
      <c r="P59" s="7" t="inlineStr">
        <is>
          <t>2026-10-11</t>
        </is>
      </c>
      <c r="Q59" s="7" t="inlineStr">
        <is>
          <t>Base = programa del programador (respaldo del 2026-10-05 14:46). $IN[227] sigue declarado dos veces (NUT_PRESENT1 y di227SensorCamera).</t>
        </is>
      </c>
    </row>
    <row r="60">
      <c r="A60" s="9" t="inlineStr">
        <is>
          <t>F37</t>
        </is>
      </c>
      <c r="B60" s="10" t="inlineStr">
        <is>
          <t>Calvin #1</t>
        </is>
      </c>
      <c r="C60" s="17" t="inlineStr">
        <is>
          <t>-</t>
        </is>
      </c>
      <c r="D60" s="10" t="inlineStr">
        <is>
          <t>Presión de intensificado no confirmada antes de weld start: no aplica en R10</t>
        </is>
      </c>
      <c r="E60" s="10" t="inlineStr">
        <is>
          <t>Sin acción</t>
        </is>
      </c>
      <c r="F60" s="10" t="inlineStr">
        <is>
          <t>Programador robot</t>
        </is>
      </c>
      <c r="G60" s="10" t="inlineStr">
        <is>
          <t>KRC/R1/Program/Centerline/centerline_weld.src</t>
        </is>
      </c>
      <c r="H60" s="10" t="inlineStr">
        <is>
          <t>• Se reabre si la espera de $IN[479] dipw1_IntensfPresOk de CENTERLINE_WELD se desactiva o se quita.</t>
        </is>
      </c>
      <c r="I60" s="10" t="inlineStr">
        <is>
          <t>F15, F44</t>
        </is>
      </c>
      <c r="J60" s="10" t="inlineStr">
        <is>
          <t>No aplica</t>
        </is>
      </c>
      <c r="K60" s="10" t="inlineStr"/>
      <c r="L60" s="10" t="inlineStr"/>
      <c r="M60" s="10" t="inlineStr"/>
      <c r="N60" s="10" t="inlineStr"/>
      <c r="O60" s="10" t="inlineStr">
        <is>
          <t>Alta (Calvin)</t>
        </is>
      </c>
      <c r="P60" s="10" t="inlineStr">
        <is>
          <t>2026-10-04</t>
        </is>
      </c>
      <c r="Q60" s="10" t="inlineStr">
        <is>
          <t>Revisión Ethos del respaldo 658424: el punto 1 de Calvin (20R1) no aplica en R10.</t>
        </is>
      </c>
    </row>
    <row r="61">
      <c r="A61" s="15"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5"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5"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5" t="inlineStr">
        <is>
          <t>F41</t>
        </is>
      </c>
      <c r="B64" s="5" t="inlineStr">
        <is>
          <t>Calvin Std 5</t>
        </is>
      </c>
      <c r="C64" s="12"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5" t="inlineStr">
        <is>
          <t>F42</t>
        </is>
      </c>
      <c r="B65" s="5" t="inlineStr">
        <is>
          <t>Calvin #30</t>
        </is>
      </c>
      <c r="C65" s="12"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5"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Estándar Gestamp</t>
        </is>
      </c>
      <c r="P66" s="7" t="inlineStr">
        <is>
          <t>2026-10-11</t>
        </is>
      </c>
      <c r="Q66" s="7" t="inlineStr">
        <is>
          <t>El cell.src de Gestamp llama GunElectrodeChange() cuando do111Gun1ElectrodeChange (fin de stepper, escrito por AutomationCore_BKG) está activo. El nuestro ya lo hace igual (cell.src:70-71, BKG activo). Depende de que Gestamp resetee el stepper en el Bosch; en R20 la llamada está comentada porque allá el fin de stepper está siempre activo: confirmar en celda que aquí no.</t>
        </is>
      </c>
    </row>
    <row r="67">
      <c r="A67" s="15"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9" t="inlineStr">
        <is>
          <t>F45</t>
        </is>
      </c>
      <c r="B68" s="10" t="inlineStr">
        <is>
          <t>Calvin #23</t>
        </is>
      </c>
      <c r="C68" s="11" t="inlineStr">
        <is>
          <t>Bajo</t>
        </is>
      </c>
      <c r="D68" s="10" t="inlineStr">
        <is>
          <t>Rutinas de clamps: grippers 2-4 deshabilitados, solo existe el gripper 1</t>
        </is>
      </c>
      <c r="E68" s="10" t="inlineStr">
        <is>
          <t>Sin acción</t>
        </is>
      </c>
      <c r="F68" s="10" t="inlineStr">
        <is>
          <t>Programador robot</t>
        </is>
      </c>
      <c r="G68" s="10" t="inlineStr">
        <is>
          <t>KRC/R1/Program/Utilities/closeandcheckallclamps.src, KRC/R1/Program/Utilities/openandcheckallclamps.src, KRC/R1/TP/GripperSpotTech/grp_data.dat</t>
        </is>
      </c>
      <c r="H68" s="10" t="inlineStr">
        <is>
          <t>• Las rutinas siguen manejando solo el gripper 1 y su comentario lo dice (verificación de regresión en cada respaldo).
• Se reabre si el EOAT de R10 recibe un gripper 2-4 con función real.</t>
        </is>
      </c>
      <c r="I68" s="10" t="inlineStr"/>
      <c r="J68" s="10" t="inlineStr">
        <is>
          <t>Cerrado - depuración</t>
        </is>
      </c>
      <c r="K68" s="10" t="inlineStr"/>
      <c r="L68" s="10" t="inlineStr"/>
      <c r="M68" s="10" t="inlineStr"/>
      <c r="N68" s="10" t="inlineStr"/>
      <c r="O68" s="10" t="inlineStr">
        <is>
          <t>Alta (Calvin)</t>
        </is>
      </c>
      <c r="P68" s="10" t="inlineStr">
        <is>
          <t>2026-10-04</t>
        </is>
      </c>
      <c r="Q68" s="10" t="inlineStr">
        <is>
          <t>Revisión Ethos del respaldo 658424; el punto sale de la lista de Calvin (Calvin #23).</t>
        </is>
      </c>
    </row>
    <row r="69">
      <c r="A69" s="15"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Abierto</t>
        </is>
      </c>
      <c r="K69" s="6" t="inlineStr"/>
      <c r="L69" s="6" t="inlineStr"/>
      <c r="M69" s="6" t="inlineStr"/>
      <c r="N69" s="6" t="inlineStr"/>
      <c r="O69" s="7" t="inlineStr">
        <is>
          <t>Estándar Gestamp</t>
        </is>
      </c>
      <c r="P69" s="7" t="inlineStr">
        <is>
          <t>2026-10-11</t>
        </is>
      </c>
      <c r="Q69" s="7" t="inlineStr">
        <is>
          <t>El EndOfCycle estándar manda Work Complete y espera el acuse; en R20 el programador ya lo tiene activo (respaldo del 09/10). Restaurarlo igual y probar con el PLC.</t>
        </is>
      </c>
    </row>
    <row r="70">
      <c r="A70" s="15"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5" t="inlineStr">
        <is>
          <t>F48</t>
        </is>
      </c>
      <c r="B71" s="5" t="inlineStr">
        <is>
          <t>Ethos</t>
        </is>
      </c>
      <c r="C71" s="8" t="inlineStr">
        <is>
          <t>Alto</t>
        </is>
      </c>
      <c r="D71" s="5" t="inlineStr">
        <is>
          <t>Drop al conveyor: interlock de drop-off después de PTP P5; AtDrop3 re-enseñado (se conserva)</t>
        </is>
      </c>
      <c r="E71" s="5" t="inlineStr">
        <is>
          <t>Código + prueba en celda</t>
        </is>
      </c>
      <c r="F71" s="5" t="inlineStr">
        <is>
          <t>Programador robot / Gestamp controles</t>
        </is>
      </c>
      <c r="G71" s="5" t="inlineStr">
        <is>
          <t>KRC/R1/Program/StyleDrops/Options/style1drop1opt1.src, KRC/R1/Program/StyleDrops/Options/style1drop1opt1.dat</t>
        </is>
      </c>
      <c r="H71" s="5" t="inlineStr">
        <is>
          <t>• AC_DropOffCheck(1) antes del primer movimiento hacia el conveyor en el respaldo.
• Prueba en celda: con $IN[75] di075DropOffMachine1 OFF el robot espera antes de moverse hacia el conveyor (mensaje de espera); con $IN[75] ON hace 5 ciclos dejando la pieza en AtDrop3. Anotar fecha.</t>
        </is>
      </c>
      <c r="I71" s="5" t="inlineStr"/>
      <c r="J71" s="6" t="inlineStr">
        <is>
          <t>Abierto</t>
        </is>
      </c>
      <c r="K71" s="6" t="inlineStr"/>
      <c r="L71" s="6" t="inlineStr"/>
      <c r="M71" s="6" t="inlineStr"/>
      <c r="N71" s="6" t="inlineStr"/>
      <c r="O71" s="7" t="inlineStr">
        <is>
          <t>Cambio de base</t>
        </is>
      </c>
      <c r="P71" s="7" t="inlineStr">
        <is>
          <t>2026-10-11</t>
        </is>
      </c>
      <c r="Q71" s="7" t="inlineStr">
        <is>
          <t>Base = programa del programador (respaldo del 2026-10-05 14:46). PTP P5 (línea 24) y después AC_DropOffCheck(1) (línea 30): el interlock sigue después de la aproximación.</t>
        </is>
      </c>
    </row>
    <row r="72">
      <c r="A72" s="9" t="inlineStr">
        <is>
          <t>F49</t>
        </is>
      </c>
      <c r="B72" s="10" t="inlineStr">
        <is>
          <t>Ethos</t>
        </is>
      </c>
      <c r="C72" s="13" t="inlineStr">
        <is>
          <t>Alto</t>
        </is>
      </c>
      <c r="D72" s="10" t="inlineStr">
        <is>
          <t>AutomationCore_BKG activado y editado sin decisión registrada</t>
        </is>
      </c>
      <c r="E72" s="10" t="inlineStr">
        <is>
          <t>Decisión Gestamp + código</t>
        </is>
      </c>
      <c r="F72" s="10" t="inlineStr">
        <is>
          <t>Gestamp controles + Programador robot</t>
        </is>
      </c>
      <c r="G72" s="10" t="inlineStr">
        <is>
          <t>KRC/R1/System/sps.sub, KRC/R1/TP/AutomationCore/automationcoreroutines.src, KRC/R1/TP/AutomationCore/automationcoreroutines.dat</t>
        </is>
      </c>
      <c r="H72" s="10"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72" s="10" t="inlineStr">
        <is>
          <t>F12, F43, C28</t>
        </is>
      </c>
      <c r="J72" s="10" t="inlineStr">
        <is>
          <t>Aceptado sin cambio</t>
        </is>
      </c>
      <c r="K72" s="10" t="inlineStr"/>
      <c r="L72" s="10" t="inlineStr"/>
      <c r="M72" s="10" t="inlineStr"/>
      <c r="N72" s="10" t="inlineStr"/>
      <c r="O72" s="10" t="inlineStr">
        <is>
          <t>Estándar Gestamp</t>
        </is>
      </c>
      <c r="P72" s="10" t="inlineStr">
        <is>
          <t>2026-10-11</t>
        </is>
      </c>
      <c r="Q72" s="10" t="inlineStr">
        <is>
          <t>AutomationCore_BKG activo, como en el sps.sub de Gestamp; las ediciones de la rutina son las mismas que en R20 salvo el EndOfCycle sin Work Complete, que sigue en F46.</t>
        </is>
      </c>
    </row>
    <row r="73">
      <c r="A73" s="15" t="inlineStr">
        <is>
          <t>F50</t>
        </is>
      </c>
      <c r="B73" s="5" t="inlineStr">
        <is>
          <t>Ethos</t>
        </is>
      </c>
      <c r="C73" s="8" t="inlineStr">
        <is>
          <t>Alto</t>
        </is>
      </c>
      <c r="D73" s="5" t="inlineStr">
        <is>
          <t>Permiso de aplicación 1 (nut check / cámara) revisado después de llegar a P22</t>
        </is>
      </c>
      <c r="E73" s="5" t="inlineStr">
        <is>
          <t>Código + prueba en celda</t>
        </is>
      </c>
      <c r="F73" s="5" t="inlineStr">
        <is>
          <t>Programador robot</t>
        </is>
      </c>
      <c r="G73" s="5" t="inlineStr">
        <is>
          <t>KRC/R1/Program/StyleApps/Options/style1app2opt1.src</t>
        </is>
      </c>
      <c r="H73" s="5" t="inlineStr">
        <is>
          <t>• AC_ApplicationCheck(1) antes de PTP P22 en el respaldo.
• Prueba en celda: con $IN[70] OFF el robot espera antes de moverse a P22 (mensaje de espera); con $IN[70] ON el ciclo sigue normal. Anotar fecha y resultado.</t>
        </is>
      </c>
      <c r="I73" s="5" t="inlineStr"/>
      <c r="J73" s="6" t="inlineStr">
        <is>
          <t>Abierto</t>
        </is>
      </c>
      <c r="K73" s="6" t="inlineStr"/>
      <c r="L73" s="6" t="inlineStr"/>
      <c r="M73" s="6" t="inlineStr"/>
      <c r="N73" s="6" t="inlineStr"/>
      <c r="O73" s="7" t="inlineStr">
        <is>
          <t>Estándar Gestamp</t>
        </is>
      </c>
      <c r="P73" s="7" t="inlineStr">
        <is>
          <t>2026-10-11</t>
        </is>
      </c>
      <c r="Q73" s="7" t="inlineStr">
        <is>
          <t>En Gestamp cada programa de revisión hace su propio AC_ApplicationCheck / AC_Application. En el nuestro el nut check revisa el permiso después de P22 (style1app2opt1.src:43-50) y solo la cámara libera (style1app2opt2.src:76).</t>
        </is>
      </c>
    </row>
    <row r="74">
      <c r="A74" s="9" t="inlineStr">
        <is>
          <t>F51</t>
        </is>
      </c>
      <c r="B74" s="10" t="inlineStr">
        <is>
          <t>Ethos</t>
        </is>
      </c>
      <c r="C74" s="11" t="inlineStr">
        <is>
          <t>Bajo</t>
        </is>
      </c>
      <c r="D74" s="10" t="inlineStr">
        <is>
          <t>Apps de soldadura duplicadas por estación de pick (A/B): cada cambio va en las dos</t>
        </is>
      </c>
      <c r="E74" s="10" t="inlineStr">
        <is>
          <t>Sin acción</t>
        </is>
      </c>
      <c r="F74" s="10" t="inlineStr">
        <is>
          <t>Programador robot</t>
        </is>
      </c>
      <c r="G74" s="10" t="inlineStr">
        <is>
          <t>KRC/R1/Program/StyleApps/Options/style1app1opt1A..3B, KRC/R1/Program/Styles/Options/style1opt1.src</t>
        </is>
      </c>
      <c r="H74" s="10" t="inlineStr">
        <is>
          <t>• Documentado; se revisa en cada auditoría que A y B sigan iguales en código.</t>
        </is>
      </c>
      <c r="I74" s="10" t="inlineStr"/>
      <c r="J74" s="10" t="inlineStr">
        <is>
          <t>Sin acción - documentado</t>
        </is>
      </c>
      <c r="K74" s="10" t="inlineStr"/>
      <c r="L74" s="10" t="inlineStr"/>
      <c r="M74" s="10" t="inlineStr"/>
      <c r="N74" s="10" t="inlineStr"/>
      <c r="O74" s="10" t="inlineStr">
        <is>
          <t>Alta (auditoría)</t>
        </is>
      </c>
      <c r="P74" s="10" t="inlineStr">
        <is>
          <t>2026-10-05</t>
        </is>
      </c>
      <c r="Q74" s="10" t="inlineStr">
        <is>
          <t>Integrado en la versión depurada.</t>
        </is>
      </c>
    </row>
    <row r="75">
      <c r="A75" s="15" t="inlineStr">
        <is>
          <t>F52</t>
        </is>
      </c>
      <c r="B75" s="5" t="inlineStr">
        <is>
          <t>Ethos</t>
        </is>
      </c>
      <c r="C75" s="8" t="inlineStr">
        <is>
          <t>Alto</t>
        </is>
      </c>
      <c r="D75" s="5" t="inlineStr">
        <is>
          <t>Tiempo ciclo: el robot espera ~4 s la tuerca antes de las tuercas 2 y 3 (la precarga arrancaba hasta después de soldar)</t>
        </is>
      </c>
      <c r="E75" s="5" t="inlineStr">
        <is>
          <t>Código + prueba en celda</t>
        </is>
      </c>
      <c r="F75" s="5" t="inlineStr">
        <is>
          <t>Programador robot</t>
        </is>
      </c>
      <c r="G75" s="5" t="inlineStr">
        <is>
          <t>KRC/R1/Program/Centerline/PRELOAD.src, KRC/R1/Program/Centerline/centerline_weld.src, KRC/R1/Program/Centerline/Request_next_nut.src, KRC/R1/Program/Centerline/CL_CYCLE_TIME.src, KRC/R1/Program/StyleApps/Options/style1app1opt1A..3B, KRC/R1/System/$config.dat</t>
        </is>
      </c>
      <c r="H75" s="5" t="inlineStr">
        <is>
          <t>• Medición en el robot (pieza a pieza, tuerca a tuerca, espera de tuerca) antes y después del cambio.
• Prueba en T1 y a 100 %: el shuttle no se mueve con la pieza en el pedestal fuera de lo que hace hoy; una tuerca por alimentación; tuercas 2 y 3 en el pin antes de que el robot entre.
• Dry cycle encendido y apagado; reset de programa a media pieza y rearranque.</t>
        </is>
      </c>
      <c r="I75" s="5" t="inlineStr"/>
      <c r="J75" s="6" t="inlineStr">
        <is>
          <t>Abierto</t>
        </is>
      </c>
      <c r="K75" s="6" t="inlineStr"/>
      <c r="L75" s="6" t="inlineStr"/>
      <c r="M75" s="6" t="inlineStr"/>
      <c r="N75" s="6" t="inlineStr"/>
      <c r="O75" s="7" t="inlineStr">
        <is>
          <t>Cambio de base</t>
        </is>
      </c>
      <c r="P75" s="7" t="inlineStr">
        <is>
          <t>2026-10-11</t>
        </is>
      </c>
      <c r="Q75" s="7" t="inlineStr">
        <is>
          <t>Base = programa del programador (respaldo del 2026-10-05 14:46). La etapa 1 de oficina (commits 17064bc a 3e748dc, paquete del 2026-10-07) no está en su programa y ya no se le pide cargarla. Queda como referencia para la palanca d).</t>
        </is>
      </c>
    </row>
    <row r="76">
      <c r="A76" s="9" t="inlineStr">
        <is>
          <t>C01</t>
        </is>
      </c>
      <c r="B76" s="10" t="inlineStr">
        <is>
          <t>Ethos</t>
        </is>
      </c>
      <c r="C76" s="17" t="inlineStr">
        <is>
          <t>-</t>
        </is>
      </c>
      <c r="D76" s="10" t="inlineStr">
        <is>
          <t>AutomationCore_Bkg deshabilitado: el estatus al PLC no se actualiza</t>
        </is>
      </c>
      <c r="E76" s="10" t="inlineStr">
        <is>
          <t>Decisión Gestamp</t>
        </is>
      </c>
      <c r="F76" s="10" t="inlineStr">
        <is>
          <t>Gestamp controles / Ethos (Edgar)</t>
        </is>
      </c>
      <c r="G76" s="10" t="inlineStr">
        <is>
          <t>KRC/R1/System/sps.sub, KRC/R1/TP/AutomationCore/automationcoreroutines.src</t>
        </is>
      </c>
      <c r="H76" s="10" t="inlineStr">
        <is>
          <t>• Se cierra cuando se cierra F12.</t>
        </is>
      </c>
      <c r="I76" s="10" t="inlineStr"/>
      <c r="J76" s="10" t="inlineStr">
        <is>
          <t>Cerrado - auditado</t>
        </is>
      </c>
      <c r="K76" s="10" t="inlineStr"/>
      <c r="L76" s="10" t="inlineStr"/>
      <c r="M76" s="10" t="inlineStr"/>
      <c r="N76" s="10" t="inlineStr"/>
      <c r="O76" s="10" t="inlineStr">
        <is>
          <t>Estándar Gestamp</t>
        </is>
      </c>
      <c r="P76" s="10" t="inlineStr">
        <is>
          <t>2026-10-11</t>
        </is>
      </c>
      <c r="Q76" s="10" t="inlineStr">
        <is>
          <t>AutomationCore_BKG activo en sps.sub desde el 2026-10-05, como en Gestamp; la rutina es la misma que en R20 salvo el EndOfCycle (F46).</t>
        </is>
      </c>
    </row>
    <row r="77">
      <c r="A77" s="15" t="inlineStr">
        <is>
          <t>C02</t>
        </is>
      </c>
      <c r="B77" s="5" t="inlineStr">
        <is>
          <t>Ethos</t>
        </is>
      </c>
      <c r="C77" s="18" t="inlineStr">
        <is>
          <t>-</t>
        </is>
      </c>
      <c r="D77" s="5" t="inlineStr">
        <is>
          <t>Designación BMW-03-10-R1 en los encabezados; confirmar formato con Gestamp</t>
        </is>
      </c>
      <c r="E77" s="5" t="inlineStr">
        <is>
          <t>Información Gestamp</t>
        </is>
      </c>
      <c r="F77" s="5" t="inlineStr">
        <is>
          <t>Ethos (Edgar) / Gestamp controles</t>
        </is>
      </c>
      <c r="G77"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7" s="5" t="inlineStr">
        <is>
          <t>• Confirmación escrita de Gestamp del formato, nombre de línea y códigos de dispositivo.
• Los encabezados del respaldo usan ese formato; los módulos nuevos también.</t>
        </is>
      </c>
      <c r="I77" s="5" t="inlineStr"/>
      <c r="J77" s="6" t="inlineStr">
        <is>
          <t>Requiere decisión</t>
        </is>
      </c>
      <c r="K77" s="6" t="inlineStr"/>
      <c r="L77" s="6" t="inlineStr"/>
      <c r="M77" s="6" t="inlineStr"/>
      <c r="N77" s="6" t="inlineStr"/>
      <c r="O77" s="7" t="inlineStr">
        <is>
          <t>Alta (Ethos)</t>
        </is>
      </c>
      <c r="P77" s="7" t="inlineStr">
        <is>
          <t>2026-10-04</t>
        </is>
      </c>
      <c r="Q77" s="7" t="inlineStr">
        <is>
          <t>Revisión Ethos del respaldo 658424 (v431_03_10_r1.zip del 2026-10-02).</t>
        </is>
      </c>
    </row>
    <row r="78">
      <c r="A78" s="9" t="inlineStr">
        <is>
          <t>C03</t>
        </is>
      </c>
      <c r="B78" s="10" t="inlineStr">
        <is>
          <t>Ethos</t>
        </is>
      </c>
      <c r="C78" s="17" t="inlineStr">
        <is>
          <t>-</t>
        </is>
      </c>
      <c r="D78" s="10" t="inlineStr">
        <is>
          <t>Encabezado estándar Gestamp en cada módulo del integrador</t>
        </is>
      </c>
      <c r="E78" s="10" t="inlineStr">
        <is>
          <t>Sin acción</t>
        </is>
      </c>
      <c r="F78" s="10" t="inlineStr">
        <is>
          <t>Programador robot</t>
        </is>
      </c>
      <c r="G78"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8" s="10" t="inlineStr">
        <is>
          <t>• Ningún módulo que hoy tiene el bloque '; Gestamp Standards' lo pierde en el respaldo.
• Todo .src nuevo del integrador trae el bloque completo (Gestamp Standards / Line / Robot 03-10-R1 (designación) / Application) y un &amp;COMMENT con 03-10-R1.</t>
        </is>
      </c>
      <c r="I78" s="10" t="inlineStr"/>
      <c r="J78" s="10" t="inlineStr">
        <is>
          <t>Cerrado - depuración</t>
        </is>
      </c>
      <c r="K78" s="10" t="inlineStr"/>
      <c r="L78" s="10" t="inlineStr"/>
      <c r="M78" s="10" t="inlineStr"/>
      <c r="N78" s="10" t="inlineStr"/>
      <c r="O78" s="10" t="inlineStr">
        <is>
          <t>Alta (Ethos)</t>
        </is>
      </c>
      <c r="P78" s="10" t="inlineStr">
        <is>
          <t>2026-10-04</t>
        </is>
      </c>
      <c r="Q78" s="10" t="inlineStr">
        <is>
          <t>Revisión Ethos del respaldo 658424 (v431_03_10_r1.zip del 2026-10-02).</t>
        </is>
      </c>
    </row>
    <row r="79">
      <c r="A79" s="15" t="inlineStr">
        <is>
          <t>C04</t>
        </is>
      </c>
      <c r="B79" s="5" t="inlineStr">
        <is>
          <t>Ethos</t>
        </is>
      </c>
      <c r="C79" s="18" t="inlineStr">
        <is>
          <t>-</t>
        </is>
      </c>
      <c r="D79" s="5" t="inlineStr">
        <is>
          <t>Movimientos de pedestal interpolados sobre el dado fijo (external TCP)</t>
        </is>
      </c>
      <c r="E79" s="5" t="inlineStr">
        <is>
          <t>Código + prueba en celda</t>
        </is>
      </c>
      <c r="F79" s="5" t="inlineStr">
        <is>
          <t>Ethos (Edgar) / Programador robot</t>
        </is>
      </c>
      <c r="G79" s="5" t="inlineStr">
        <is>
          <t>KRC/R1/Program/StyleApps/Options/style1app1opt1.src, KRC/R1/Program/StyleApps/Options/style1app1opt2.src, KRC/R1/Program/StyleApps/Options/style1app1opt3.src, KRC/R1/Program/Utilities/RejectGE4.src, KRC/R1/Program/StyleApps/Options/style1app2opt2.src</t>
        </is>
      </c>
      <c r="H79"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79" s="5" t="inlineStr">
        <is>
          <t>C05, F22</t>
        </is>
      </c>
      <c r="J79" s="6" t="inlineStr">
        <is>
          <t>Requiere decisión</t>
        </is>
      </c>
      <c r="K79" s="6" t="inlineStr"/>
      <c r="L79" s="6" t="inlineStr"/>
      <c r="M79" s="6" t="inlineStr"/>
      <c r="N79" s="6" t="inlineStr"/>
      <c r="O79" s="7" t="inlineStr">
        <is>
          <t>Alta (Ethos)</t>
        </is>
      </c>
      <c r="P79" s="7" t="inlineStr">
        <is>
          <t>2026-10-04</t>
        </is>
      </c>
      <c r="Q79" s="7" t="inlineStr">
        <is>
          <t>Revisión Ethos del respaldo 658424 (v431_03_10_r1.zip del 2026-10-02).</t>
        </is>
      </c>
    </row>
    <row r="80">
      <c r="A80" s="15" t="inlineStr">
        <is>
          <t>C05</t>
        </is>
      </c>
      <c r="B80" s="5" t="inlineStr">
        <is>
          <t>Ethos</t>
        </is>
      </c>
      <c r="C80" s="18" t="inlineStr">
        <is>
          <t>-</t>
        </is>
      </c>
      <c r="D80" s="5" t="inlineStr">
        <is>
          <t>TCP remoto del pedestal (BASE_DATA[3]) sin medir</t>
        </is>
      </c>
      <c r="E80" s="5" t="inlineStr">
        <is>
          <t>Confirmar en sitio</t>
        </is>
      </c>
      <c r="F80" s="5" t="inlineStr">
        <is>
          <t>Puesta en marcha / Programador robot</t>
        </is>
      </c>
      <c r="G80" s="5" t="inlineStr">
        <is>
          <t>KRC/R1/System/$config.dat, KRC/R1/Program/StyleApps/Options/style1app1opt1.src, KRC/R1/Program/StyleApps/Options/style1app1opt2.src, KRC/R1/Program/StyleApps/Options/style1app1opt3.src, KRC/R1/Program/Utilities/RejectGE4.src, KRC/R1/Program/StyleApps/Options/style1app2opt2.src</t>
        </is>
      </c>
      <c r="H80"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80" s="5" t="inlineStr"/>
      <c r="J80" s="6" t="inlineStr">
        <is>
          <t>Abierto</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5" t="inlineStr">
        <is>
          <t>C06</t>
        </is>
      </c>
      <c r="B81" s="5" t="inlineStr">
        <is>
          <t>Ethos</t>
        </is>
      </c>
      <c r="C81" s="18" t="inlineStr">
        <is>
          <t>-</t>
        </is>
      </c>
      <c r="D81" s="5" t="inlineStr">
        <is>
          <t>Herramientas y bases con nombre: nombres de otro proyecto</t>
        </is>
      </c>
      <c r="E81" s="5" t="inlineStr">
        <is>
          <t>Código + prueba en celda</t>
        </is>
      </c>
      <c r="F81" s="5" t="inlineStr">
        <is>
          <t>Programador robot</t>
        </is>
      </c>
      <c r="G81" s="5" t="inlineStr">
        <is>
          <t>KRC/R1/System/$config.dat, KRC/R1/TP/BrakeTest/braketeststart.src</t>
        </is>
      </c>
      <c r="H81"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81" s="5" t="inlineStr">
        <is>
          <t>F47</t>
        </is>
      </c>
      <c r="J81" s="6" t="inlineStr">
        <is>
          <t>Abierto</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5" t="inlineStr">
        <is>
          <t>C07</t>
        </is>
      </c>
      <c r="B82" s="5" t="inlineStr">
        <is>
          <t>Ethos</t>
        </is>
      </c>
      <c r="C82" s="18" t="inlineStr">
        <is>
          <t>-</t>
        </is>
      </c>
      <c r="D82" s="5" t="inlineStr">
        <is>
          <t>Un user frame por utillaje: picks, nut check, reject y drops en WORLD</t>
        </is>
      </c>
      <c r="E82" s="5" t="inlineStr">
        <is>
          <t>Decisión Gestamp</t>
        </is>
      </c>
      <c r="F82" s="5" t="inlineStr">
        <is>
          <t>Gestamp controles / Ethos (Edgar)</t>
        </is>
      </c>
      <c r="G82"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82"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82" s="5" t="inlineStr"/>
      <c r="J82" s="6" t="inlineStr">
        <is>
          <t>Requiere decisión</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5" t="inlineStr">
        <is>
          <t>C08</t>
        </is>
      </c>
      <c r="B83" s="5" t="inlineStr">
        <is>
          <t>Ethos</t>
        </is>
      </c>
      <c r="C83" s="18" t="inlineStr">
        <is>
          <t>-</t>
        </is>
      </c>
      <c r="D83" s="5" t="inlineStr">
        <is>
          <t>Datos de carga: LOAD_DATA[1] tecleado, sin determinar</t>
        </is>
      </c>
      <c r="E83" s="5" t="inlineStr">
        <is>
          <t>Código + prueba en celda</t>
        </is>
      </c>
      <c r="F83" s="5" t="inlineStr">
        <is>
          <t>Programador robot / Puesta en marcha</t>
        </is>
      </c>
      <c r="G83"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83" s="5" t="inlineStr">
        <is>
          <t>• LOAD_DATA[1] coincide con el resultado de LoadDataDetermination del EOAT 1 sin pieza.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83" s="5" t="inlineStr">
        <is>
          <t>G03, F39</t>
        </is>
      </c>
      <c r="J83" s="6" t="inlineStr">
        <is>
          <t>Abierto</t>
        </is>
      </c>
      <c r="K83" s="6" t="inlineStr"/>
      <c r="L83" s="6" t="inlineStr"/>
      <c r="M83" s="6" t="inlineStr"/>
      <c r="N83" s="6" t="inlineStr"/>
      <c r="O83" s="7" t="inlineStr">
        <is>
          <t>Estándar Gestamp</t>
        </is>
      </c>
      <c r="P83" s="7" t="inlineStr">
        <is>
          <t>2026-10-11</t>
        </is>
      </c>
      <c r="Q83" s="7" t="inlineStr">
        <is>
          <t>Gestamp tiene una carga determinada por herramienta (LOAD_DATA[1] 81 kg con centro de masa e inercias) y no usa carga aparte con pieza: se quita ese criterio (igual que R20). Hoy LOAD_DATA[1] sigue tecleado (210 kg, CM 270/0/240, inercias 105).</t>
        </is>
      </c>
    </row>
    <row r="84">
      <c r="A84" s="15" t="inlineStr">
        <is>
          <t>C09</t>
        </is>
      </c>
      <c r="B84" s="5" t="inlineStr">
        <is>
          <t>Ethos</t>
        </is>
      </c>
      <c r="C84" s="18" t="inlineStr">
        <is>
          <t>-</t>
        </is>
      </c>
      <c r="D84" s="5" t="inlineStr">
        <is>
          <t>Detección de colisión apagada en todo el programa; la reacción es un HALT</t>
        </is>
      </c>
      <c r="E84" s="5" t="inlineStr">
        <is>
          <t>Código + prueba en celda</t>
        </is>
      </c>
      <c r="F84" s="5" t="inlineStr">
        <is>
          <t>Programador robot / Puesta en marcha</t>
        </is>
      </c>
      <c r="G84"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84"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84" s="5" t="inlineStr">
        <is>
          <t>C08, F39</t>
        </is>
      </c>
      <c r="J84" s="6" t="inlineStr">
        <is>
          <t>Abierto</t>
        </is>
      </c>
      <c r="K84" s="6" t="inlineStr"/>
      <c r="L84" s="6" t="inlineStr"/>
      <c r="M84" s="6" t="inlineStr"/>
      <c r="N84" s="6" t="inlineStr"/>
      <c r="O84" s="7" t="inlineStr">
        <is>
          <t>Alta (Ethos)</t>
        </is>
      </c>
      <c r="P84" s="7" t="inlineStr">
        <is>
          <t>2026-10-04</t>
        </is>
      </c>
      <c r="Q84" s="7" t="inlineStr">
        <is>
          <t>Revisión Ethos del respaldo 658424 (v431_03_10_r1.zip del 2026-10-02).</t>
        </is>
      </c>
    </row>
    <row r="85">
      <c r="A85" s="15" t="inlineStr">
        <is>
          <t>C10</t>
        </is>
      </c>
      <c r="B85" s="5" t="inlineStr">
        <is>
          <t>Ethos</t>
        </is>
      </c>
      <c r="C85" s="18" t="inlineStr">
        <is>
          <t>-</t>
        </is>
      </c>
      <c r="D85" s="5" t="inlineStr">
        <is>
          <t>Falta el programa de mastering ZERO_G1</t>
        </is>
      </c>
      <c r="E85" s="5" t="inlineStr">
        <is>
          <t>Código + prueba en celda</t>
        </is>
      </c>
      <c r="F85" s="5" t="inlineStr">
        <is>
          <t>Programador robot</t>
        </is>
      </c>
      <c r="G85" s="5" t="inlineStr">
        <is>
          <t>KRC/R1/Program/ZERO_G1.src (nuevo)</t>
        </is>
      </c>
      <c r="H85"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5" s="5" t="inlineStr"/>
      <c r="J85" s="6" t="inlineStr">
        <is>
          <t>Abierto</t>
        </is>
      </c>
      <c r="K85" s="6" t="inlineStr"/>
      <c r="L85" s="6" t="inlineStr"/>
      <c r="M85" s="6" t="inlineStr"/>
      <c r="N85" s="6" t="inlineStr"/>
      <c r="O85" s="7" t="inlineStr">
        <is>
          <t>Alta (Ethos)</t>
        </is>
      </c>
      <c r="P85" s="7" t="inlineStr">
        <is>
          <t>2026-10-04</t>
        </is>
      </c>
      <c r="Q85" s="7" t="inlineStr">
        <is>
          <t>Revisión Ethos del respaldo 658424 (v431_03_10_r1.zip del 2026-10-02).</t>
        </is>
      </c>
    </row>
    <row r="86">
      <c r="A86" s="15" t="inlineStr">
        <is>
          <t>C11</t>
        </is>
      </c>
      <c r="B86" s="5" t="inlineStr">
        <is>
          <t>Ethos</t>
        </is>
      </c>
      <c r="C86" s="18" t="inlineStr">
        <is>
          <t>-</t>
        </is>
      </c>
      <c r="D86" s="5" t="inlineStr">
        <is>
          <t>Zonas sin documentar: ninguna zona pedida, falta la forma NA-FM-71-138.1</t>
        </is>
      </c>
      <c r="E86" s="5" t="inlineStr">
        <is>
          <t>Información Gestamp</t>
        </is>
      </c>
      <c r="F86" s="5" t="inlineStr">
        <is>
          <t>Ethos (Edgar) / Gestamp controles</t>
        </is>
      </c>
      <c r="G86" s="5" t="inlineStr">
        <is>
          <t>KRC/R1/Program/Utilities/hometorepair.src, KRC/R1/Program/Utilities/repairtohome.src, KRC/R1/Program/Utilities/hometopounce.src, KRC/R1/Program/Styles/Options/style1opt1.src</t>
        </is>
      </c>
      <c r="H86"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6" s="5" t="inlineStr"/>
      <c r="J86" s="6" t="inlineStr">
        <is>
          <t>Requiere decisión</t>
        </is>
      </c>
      <c r="K86" s="6" t="inlineStr"/>
      <c r="L86" s="6" t="inlineStr"/>
      <c r="M86" s="6" t="inlineStr"/>
      <c r="N86" s="6" t="inlineStr"/>
      <c r="O86" s="7" t="inlineStr">
        <is>
          <t>Alta (Ethos)</t>
        </is>
      </c>
      <c r="P86" s="7" t="inlineStr">
        <is>
          <t>2026-10-04</t>
        </is>
      </c>
      <c r="Q86" s="7" t="inlineStr">
        <is>
          <t>Revisión Ethos del respaldo 658424 (v431_03_10_r1.zip del 2026-10-02).</t>
        </is>
      </c>
    </row>
    <row r="87">
      <c r="A87" s="9" t="inlineStr">
        <is>
          <t>C12</t>
        </is>
      </c>
      <c r="B87" s="10" t="inlineStr">
        <is>
          <t>Ethos</t>
        </is>
      </c>
      <c r="C87" s="17" t="inlineStr">
        <is>
          <t>-</t>
        </is>
      </c>
      <c r="D87" s="10" t="inlineStr">
        <is>
          <t>Pounce común: el ciclo no pasa por pounce y do007RobotAtPounce no se calcula</t>
        </is>
      </c>
      <c r="E87" s="10" t="inlineStr">
        <is>
          <t>Decisión Gestamp</t>
        </is>
      </c>
      <c r="F87" s="10" t="inlineStr">
        <is>
          <t>Gestamp controles / Ethos (Edgar)</t>
        </is>
      </c>
      <c r="G87" s="10"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7" s="10"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7" s="10" t="inlineStr">
        <is>
          <t>F12</t>
        </is>
      </c>
      <c r="J87" s="10" t="inlineStr">
        <is>
          <t>Aceptado sin cambio</t>
        </is>
      </c>
      <c r="K87" s="10" t="inlineStr"/>
      <c r="L87" s="10" t="inlineStr"/>
      <c r="M87" s="10" t="inlineStr"/>
      <c r="N87" s="10" t="inlineStr"/>
      <c r="O87" s="10" t="inlineStr">
        <is>
          <t>Estándar Gestamp</t>
        </is>
      </c>
      <c r="P87" s="10" t="inlineStr">
        <is>
          <t>2026-10-11</t>
        </is>
      </c>
      <c r="Q87" s="10" t="inlineStr">
        <is>
          <t>Gestamp no usa pounce en el ciclo. Aceptado sin cambio (igual que R20).</t>
        </is>
      </c>
    </row>
    <row r="88">
      <c r="A88" s="9" t="inlineStr">
        <is>
          <t>C13</t>
        </is>
      </c>
      <c r="B88" s="10" t="inlineStr">
        <is>
          <t>Ethos</t>
        </is>
      </c>
      <c r="C88" s="17" t="inlineStr">
        <is>
          <t>-</t>
        </is>
      </c>
      <c r="D88" s="10" t="inlineStr">
        <is>
          <t>Manejo de zonas coherente</t>
        </is>
      </c>
      <c r="E88" s="10" t="inlineStr">
        <is>
          <t>Sin acción</t>
        </is>
      </c>
      <c r="F88" s="10" t="inlineStr">
        <is>
          <t>Programador robot</t>
        </is>
      </c>
      <c r="G88" s="10" t="inlineStr">
        <is>
          <t>KRC/R1/Program/Utilities/hometorepair.src, KRC/R1/Program/Utilities/repairtohome.src, KRC/R1/Program/Utilities/hometopounce.src, KRC/R1/Program/Utilities/pouncetohome.src</t>
        </is>
      </c>
      <c r="H88" s="10" t="inlineStr">
        <is>
          <t>• Se reabre si C11 o C12 agregan zonas: entonces cada zona pedida se libera al salir de ella (no solo por MaintainSystem), con prueba en T1 de las salidas de zona libre.</t>
        </is>
      </c>
      <c r="I88" s="10" t="inlineStr">
        <is>
          <t>C11</t>
        </is>
      </c>
      <c r="J88" s="10" t="inlineStr">
        <is>
          <t>No aplica</t>
        </is>
      </c>
      <c r="K88" s="10" t="inlineStr"/>
      <c r="L88" s="10" t="inlineStr"/>
      <c r="M88" s="10" t="inlineStr"/>
      <c r="N88" s="10" t="inlineStr"/>
      <c r="O88" s="10" t="inlineStr">
        <is>
          <t>Alta (Ethos)</t>
        </is>
      </c>
      <c r="P88" s="10" t="inlineStr">
        <is>
          <t>2026-10-04</t>
        </is>
      </c>
      <c r="Q88" s="10" t="inlineStr">
        <is>
          <t>Revisión Ethos del respaldo 658424 (v431_03_10_r1.zip del 2026-10-02).</t>
        </is>
      </c>
    </row>
    <row r="89">
      <c r="A89" s="9" t="inlineStr">
        <is>
          <t>C14</t>
        </is>
      </c>
      <c r="B89" s="10" t="inlineStr">
        <is>
          <t>Ethos</t>
        </is>
      </c>
      <c r="C89" s="17" t="inlineStr">
        <is>
          <t>-</t>
        </is>
      </c>
      <c r="D89" s="10" t="inlineStr">
        <is>
          <t>Brake test: el 'due' no se reporta y el camino usa tool/base de otro robot</t>
        </is>
      </c>
      <c r="E89" s="10" t="inlineStr">
        <is>
          <t>Código + prueba en celda</t>
        </is>
      </c>
      <c r="F89" s="10" t="inlineStr">
        <is>
          <t>Programador robot</t>
        </is>
      </c>
      <c r="G89" s="10" t="inlineStr">
        <is>
          <t>KRC/R1/TP/BrakeTest/braketeststart.src, KRC/R1/TP/BrakeTest/braketestback.src, KRC/R1/cell.src, KRC/R1/System/sps.sub, KRC/R1/TP/AutomationCore/automationcoreroutines.src</t>
        </is>
      </c>
      <c r="H89" s="10"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89" s="10" t="inlineStr">
        <is>
          <t>F47</t>
        </is>
      </c>
      <c r="J89" s="10" t="inlineStr">
        <is>
          <t>Se cierra con otro punto</t>
        </is>
      </c>
      <c r="K89" s="10" t="inlineStr"/>
      <c r="L89" s="10" t="inlineStr"/>
      <c r="M89" s="10" t="inlineStr"/>
      <c r="N89" s="10" t="inlineStr"/>
      <c r="O89" s="10" t="inlineStr">
        <is>
          <t>Estándar Gestamp</t>
        </is>
      </c>
      <c r="P89" s="10" t="inlineStr">
        <is>
          <t>2026-10-11</t>
        </is>
      </c>
      <c r="Q89" s="10" t="inlineStr">
        <is>
          <t>do021 (brake test pendiente) lo escribe AutomationCore_BKG, activo como en Gestamp; braketestback apaga do931 en su USER INI, igual que Gestamp. Queda el camino del brake test enseñado con tool/base de otro robot: F47.</t>
        </is>
      </c>
    </row>
    <row r="90">
      <c r="A90" s="9" t="inlineStr">
        <is>
          <t>C15</t>
        </is>
      </c>
      <c r="B90" s="10" t="inlineStr">
        <is>
          <t>Ethos</t>
        </is>
      </c>
      <c r="C90" s="17" t="inlineStr">
        <is>
          <t>-</t>
        </is>
      </c>
      <c r="D90" s="10" t="inlineStr">
        <is>
          <t>Dry cycle seleccionable y sin colgar el robot</t>
        </is>
      </c>
      <c r="E90" s="10" t="inlineStr">
        <is>
          <t>Código + prueba en celda</t>
        </is>
      </c>
      <c r="F90" s="10" t="inlineStr">
        <is>
          <t>Programador robot</t>
        </is>
      </c>
      <c r="G90" s="10"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90" s="10" t="inlineStr">
        <is>
          <t>• Se cierra cuando se cierran F04 y F05.</t>
        </is>
      </c>
      <c r="I90" s="10" t="inlineStr">
        <is>
          <t>F04, F05</t>
        </is>
      </c>
      <c r="J90" s="10" t="inlineStr">
        <is>
          <t>Se cierra con otro punto</t>
        </is>
      </c>
      <c r="K90" s="10" t="inlineStr"/>
      <c r="L90" s="10" t="inlineStr"/>
      <c r="M90" s="10" t="inlineStr"/>
      <c r="N90" s="10" t="inlineStr"/>
      <c r="O90" s="10" t="inlineStr">
        <is>
          <t>Alta (Ethos)</t>
        </is>
      </c>
      <c r="P90" s="10" t="inlineStr">
        <is>
          <t>2026-10-04</t>
        </is>
      </c>
      <c r="Q90" s="10" t="inlineStr">
        <is>
          <t>Revisión Ethos del respaldo 658424 (v431_03_10_r1.zip del 2026-10-02).</t>
        </is>
      </c>
    </row>
    <row r="91">
      <c r="A91" s="9" t="inlineStr">
        <is>
          <t>C16</t>
        </is>
      </c>
      <c r="B91" s="10" t="inlineStr">
        <is>
          <t>Ethos</t>
        </is>
      </c>
      <c r="C91" s="17" t="inlineStr">
        <is>
          <t>-</t>
        </is>
      </c>
      <c r="D91" s="10" t="inlineStr">
        <is>
          <t>Pieza presente / pieza en gripper</t>
        </is>
      </c>
      <c r="E91" s="10" t="inlineStr">
        <is>
          <t>Código + prueba en celda</t>
        </is>
      </c>
      <c r="F91" s="10" t="inlineStr">
        <is>
          <t>Programador robot</t>
        </is>
      </c>
      <c r="G91"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91" s="10" t="inlineStr">
        <is>
          <t>• Se cierra cuando se cierran G09 y F40.
• Se reabre si un cambio quita o salta alguna espera de pieza fuera de dry cycle.</t>
        </is>
      </c>
      <c r="I91" s="10" t="inlineStr">
        <is>
          <t>G09, F40</t>
        </is>
      </c>
      <c r="J91" s="10" t="inlineStr">
        <is>
          <t>Se cierra con otro punto</t>
        </is>
      </c>
      <c r="K91" s="10" t="inlineStr"/>
      <c r="L91" s="10" t="inlineStr"/>
      <c r="M91" s="10" t="inlineStr"/>
      <c r="N91" s="10" t="inlineStr"/>
      <c r="O91" s="10" t="inlineStr">
        <is>
          <t>Alta (Ethos)</t>
        </is>
      </c>
      <c r="P91" s="10" t="inlineStr">
        <is>
          <t>2026-10-04</t>
        </is>
      </c>
      <c r="Q91" s="10" t="inlineStr">
        <is>
          <t>Revisión Ethos del respaldo 658424 (v431_03_10_r1.zip del 2026-10-02).</t>
        </is>
      </c>
    </row>
    <row r="92">
      <c r="A92" s="9" t="inlineStr">
        <is>
          <t>C17</t>
        </is>
      </c>
      <c r="B92" s="10" t="inlineStr">
        <is>
          <t>Ethos</t>
        </is>
      </c>
      <c r="C92" s="17" t="inlineStr">
        <is>
          <t>-</t>
        </is>
      </c>
      <c r="D92" s="10" t="inlineStr">
        <is>
          <t>Verificación de tuercas y red rabbit</t>
        </is>
      </c>
      <c r="E92" s="10" t="inlineStr">
        <is>
          <t>Código + prueba en celda</t>
        </is>
      </c>
      <c r="F92" s="10" t="inlineStr">
        <is>
          <t>Programador robot</t>
        </is>
      </c>
      <c r="G92" s="10"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92" s="10" t="inlineStr">
        <is>
          <t>• Se cierra cuando se cierran F02, F03 y F19.</t>
        </is>
      </c>
      <c r="I92" s="10" t="inlineStr">
        <is>
          <t>F02, F03, F19</t>
        </is>
      </c>
      <c r="J92" s="10" t="inlineStr">
        <is>
          <t>Se cierra con otro punto</t>
        </is>
      </c>
      <c r="K92" s="10" t="inlineStr"/>
      <c r="L92" s="10" t="inlineStr"/>
      <c r="M92" s="10" t="inlineStr"/>
      <c r="N92" s="10" t="inlineStr"/>
      <c r="O92" s="10" t="inlineStr">
        <is>
          <t>Alta (Ethos)</t>
        </is>
      </c>
      <c r="P92" s="10" t="inlineStr">
        <is>
          <t>2026-10-04</t>
        </is>
      </c>
      <c r="Q92" s="10" t="inlineStr">
        <is>
          <t>Revisión Ethos del respaldo 658424 (v431_03_10_r1.zip del 2026-10-02).</t>
        </is>
      </c>
    </row>
    <row r="93">
      <c r="A93" s="9" t="inlineStr">
        <is>
          <t>C18</t>
        </is>
      </c>
      <c r="B93" s="10" t="inlineStr">
        <is>
          <t>Ethos</t>
        </is>
      </c>
      <c r="C93" s="17" t="inlineStr">
        <is>
          <t>-</t>
        </is>
      </c>
      <c r="D93" s="10" t="inlineStr">
        <is>
          <t>Handshakes AutomationCore de pick, application y drop</t>
        </is>
      </c>
      <c r="E93" s="10" t="inlineStr">
        <is>
          <t>Código + prueba en celda</t>
        </is>
      </c>
      <c r="F93" s="10" t="inlineStr">
        <is>
          <t>Programador robot</t>
        </is>
      </c>
      <c r="G93" s="10"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93" s="10" t="inlineStr">
        <is>
          <t>• Se cierra cuando se cierran F20, F21 y F46.</t>
        </is>
      </c>
      <c r="I93" s="10" t="inlineStr">
        <is>
          <t>F20, F21, F46</t>
        </is>
      </c>
      <c r="J93" s="10" t="inlineStr">
        <is>
          <t>Se cierra con otro punto</t>
        </is>
      </c>
      <c r="K93" s="10" t="inlineStr"/>
      <c r="L93" s="10" t="inlineStr"/>
      <c r="M93" s="10" t="inlineStr"/>
      <c r="N93" s="10" t="inlineStr"/>
      <c r="O93" s="10" t="inlineStr">
        <is>
          <t>Alta (Ethos)</t>
        </is>
      </c>
      <c r="P93" s="10" t="inlineStr">
        <is>
          <t>2026-10-04</t>
        </is>
      </c>
      <c r="Q93" s="10" t="inlineStr">
        <is>
          <t>Revisión Ethos del respaldo 658424 (v431_03_10_r1.zip del 2026-10-02).</t>
        </is>
      </c>
    </row>
    <row r="94">
      <c r="A94" s="9" t="inlineStr">
        <is>
          <t>C19</t>
        </is>
      </c>
      <c r="B94" s="10" t="inlineStr">
        <is>
          <t>Ethos</t>
        </is>
      </c>
      <c r="C94" s="17" t="inlineStr">
        <is>
          <t>-</t>
        </is>
      </c>
      <c r="D94" s="10" t="inlineStr">
        <is>
          <t>Request to enter: doCriticalWZ nunca se escribe; el PLC ve entrada permitida</t>
        </is>
      </c>
      <c r="E94" s="10" t="inlineStr">
        <is>
          <t>Código + prueba en celda</t>
        </is>
      </c>
      <c r="F94" s="10" t="inlineStr">
        <is>
          <t>Programador robot / Seguridad</t>
        </is>
      </c>
      <c r="G94" s="10" t="inlineStr">
        <is>
          <t>KRC/R1/System/sps.sub, KRC/R1/TP/AutomationCore/automationcoreroutines.src, KRC/R1/Program/Centerline/PRELOAD.src, KRC/R1/Program/Centerline/centerline_weld.src</t>
        </is>
      </c>
      <c r="H94" s="10"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94" s="10" t="inlineStr">
        <is>
          <t>F12, F11, F35</t>
        </is>
      </c>
      <c r="J94" s="10" t="inlineStr">
        <is>
          <t>Cerrado - auditado</t>
        </is>
      </c>
      <c r="K94" s="10" t="inlineStr"/>
      <c r="L94" s="10" t="inlineStr"/>
      <c r="M94" s="10" t="inlineStr"/>
      <c r="N94" s="10" t="inlineStr"/>
      <c r="O94" s="10" t="inlineStr">
        <is>
          <t>Estándar Gestamp</t>
        </is>
      </c>
      <c r="P94" s="10" t="inlineStr">
        <is>
          <t>2026-10-11</t>
        </is>
      </c>
      <c r="Q94" s="10" t="inlineStr">
        <is>
          <t>doCriticalWZ lo escribe AutomationCore_BKG, activo como en Gestamp (mismo código que R20, que lo cerró).</t>
        </is>
      </c>
    </row>
    <row r="95">
      <c r="A95" s="15" t="inlineStr">
        <is>
          <t>C20</t>
        </is>
      </c>
      <c r="B95" s="5" t="inlineStr">
        <is>
          <t>Ethos</t>
        </is>
      </c>
      <c r="C95" s="18" t="inlineStr">
        <is>
          <t>-</t>
        </is>
      </c>
      <c r="D95" s="5" t="inlineStr">
        <is>
          <t>Conteo de soldaduras al final del ciclo: #CHECK apagado y WeldNoRequired distinto de 3</t>
        </is>
      </c>
      <c r="E95" s="5" t="inlineStr">
        <is>
          <t>Código + prueba en celda</t>
        </is>
      </c>
      <c r="F95" s="5" t="inlineStr">
        <is>
          <t>Programador robot</t>
        </is>
      </c>
      <c r="G95" s="5" t="inlineStr">
        <is>
          <t>KRC/R1/Program/Centerline/centerline_weld.src, KRC/R1/TP/AutomationCore/automationcoreroutines.src, KRC/R1/TP/AutomationCore/automationcoredata.dat</t>
        </is>
      </c>
      <c r="H95"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5" s="5" t="inlineStr">
        <is>
          <t>F46, F08, F02, F05</t>
        </is>
      </c>
      <c r="J95" s="6" t="inlineStr">
        <is>
          <t>Abierto</t>
        </is>
      </c>
      <c r="K95" s="6" t="inlineStr"/>
      <c r="L95" s="6" t="inlineStr"/>
      <c r="M95" s="6" t="inlineStr"/>
      <c r="N95" s="6" t="inlineStr"/>
      <c r="O95" s="7" t="inlineStr">
        <is>
          <t>Alta (Ethos)</t>
        </is>
      </c>
      <c r="P95" s="7" t="inlineStr">
        <is>
          <t>2026-10-04</t>
        </is>
      </c>
      <c r="Q95" s="7" t="inlineStr">
        <is>
          <t>Revisión Ethos del respaldo 658424 (v431_03_10_r1.zip del 2026-10-02).</t>
        </is>
      </c>
    </row>
    <row r="96">
      <c r="A96" s="15" t="inlineStr">
        <is>
          <t>C21</t>
        </is>
      </c>
      <c r="B96" s="5" t="inlineStr">
        <is>
          <t>Ethos</t>
        </is>
      </c>
      <c r="C96" s="18" t="inlineStr">
        <is>
          <t>-</t>
        </is>
      </c>
      <c r="D96" s="5" t="inlineStr">
        <is>
          <t>Fallas por mensajes AutomationCore: ningún HALT sin mensaje ni WAIT FOR FALSE</t>
        </is>
      </c>
      <c r="E96" s="5" t="inlineStr">
        <is>
          <t>Código + prueba en celda</t>
        </is>
      </c>
      <c r="F96" s="5" t="inlineStr">
        <is>
          <t>Programador robot</t>
        </is>
      </c>
      <c r="G96"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6"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6" s="5" t="inlineStr">
        <is>
          <t>F06, F07, F15</t>
        </is>
      </c>
      <c r="J96" s="6" t="inlineStr">
        <is>
          <t>Abierto</t>
        </is>
      </c>
      <c r="K96" s="6" t="inlineStr"/>
      <c r="L96" s="6" t="inlineStr"/>
      <c r="M96" s="6" t="inlineStr"/>
      <c r="N96" s="6" t="inlineStr"/>
      <c r="O96" s="7" t="inlineStr">
        <is>
          <t>Alta (Ethos)</t>
        </is>
      </c>
      <c r="P96" s="7" t="inlineStr">
        <is>
          <t>2026-10-04</t>
        </is>
      </c>
      <c r="Q96" s="7" t="inlineStr">
        <is>
          <t>Revisión Ethos del respaldo 658424 (v431_03_10_r1.zip del 2026-10-02).</t>
        </is>
      </c>
    </row>
    <row r="97">
      <c r="A97" s="15" t="inlineStr">
        <is>
          <t>C22</t>
        </is>
      </c>
      <c r="B97" s="5" t="inlineStr">
        <is>
          <t>Ethos</t>
        </is>
      </c>
      <c r="C97" s="18" t="inlineStr">
        <is>
          <t>-</t>
        </is>
      </c>
      <c r="D97" s="5" t="inlineStr">
        <is>
          <t>Grippers por inline forms GripperTech</t>
        </is>
      </c>
      <c r="E97" s="5" t="inlineStr">
        <is>
          <t>Código + prueba en celda</t>
        </is>
      </c>
      <c r="F97" s="5" t="inlineStr">
        <is>
          <t>Programador robot / Puesta en marcha</t>
        </is>
      </c>
      <c r="G97"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7"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7" s="5" t="inlineStr">
        <is>
          <t>F31, F33, F19</t>
        </is>
      </c>
      <c r="J97" s="6" t="inlineStr">
        <is>
          <t>Abierto</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9" t="inlineStr">
        <is>
          <t>C23</t>
        </is>
      </c>
      <c r="B98" s="10" t="inlineStr">
        <is>
          <t>Ethos</t>
        </is>
      </c>
      <c r="C98" s="17" t="inlineStr">
        <is>
          <t>-</t>
        </is>
      </c>
      <c r="D98" s="10" t="inlineStr">
        <is>
          <t>Nombres AutomationCore para la E/S, sin direcciones literales</t>
        </is>
      </c>
      <c r="E98" s="10" t="inlineStr">
        <is>
          <t>Código</t>
        </is>
      </c>
      <c r="F98" s="10" t="inlineStr">
        <is>
          <t>Programador robot</t>
        </is>
      </c>
      <c r="G98" s="10" t="inlineStr">
        <is>
          <t>KRC/R1/Program/Centerline/centerline_weld.src, KRC/R1/Program/Centerline/PRELOAD.src, KRC/R1/Program/Centerline/CENTERLINE_HOME.src, KRC/R1/System/sps.sub, KRC/R1/System/$config.dat, KRC/R1/TP/AutomationCore/automationcoreroutines.dat</t>
        </is>
      </c>
      <c r="H98" s="10" t="inlineStr">
        <is>
          <t>• Se cierra cuando se cierran F17, F29 y F36.</t>
        </is>
      </c>
      <c r="I98" s="10" t="inlineStr">
        <is>
          <t>F17, F29, F36</t>
        </is>
      </c>
      <c r="J98" s="10" t="inlineStr">
        <is>
          <t>Se cierra con otro punto</t>
        </is>
      </c>
      <c r="K98" s="10" t="inlineStr"/>
      <c r="L98" s="10" t="inlineStr"/>
      <c r="M98" s="10" t="inlineStr"/>
      <c r="N98" s="10" t="inlineStr"/>
      <c r="O98" s="10" t="inlineStr">
        <is>
          <t>Alta (Ethos)</t>
        </is>
      </c>
      <c r="P98" s="10" t="inlineStr">
        <is>
          <t>2026-10-04</t>
        </is>
      </c>
      <c r="Q98" s="10" t="inlineStr">
        <is>
          <t>Revisión Ethos del respaldo 658424 (v431_03_10_r1.zip del 2026-10-02).</t>
        </is>
      </c>
    </row>
    <row r="99">
      <c r="A99" s="9" t="inlineStr">
        <is>
          <t>C24</t>
        </is>
      </c>
      <c r="B99" s="10" t="inlineStr">
        <is>
          <t>Ethos</t>
        </is>
      </c>
      <c r="C99" s="17" t="inlineStr">
        <is>
          <t>-</t>
        </is>
      </c>
      <c r="D99" s="10" t="inlineStr">
        <is>
          <t>Los comentarios nombran la señal con su dirección</t>
        </is>
      </c>
      <c r="E99" s="10" t="inlineStr">
        <is>
          <t>Sin acción</t>
        </is>
      </c>
      <c r="F99" s="10" t="inlineStr">
        <is>
          <t>Programador robot</t>
        </is>
      </c>
      <c r="G99"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9" s="10" t="inlineStr">
        <is>
          <t>• Toda acción de E/S o espera nueva o cambiada del respaldo tiene en las líneas de arriba un comentario con dirección y nombre declarado.
• Ningún comentario nuevo o cambiado escribe '$IN/$OUT[n] nombre' con un nombre no declarado en ese índice.</t>
        </is>
      </c>
      <c r="I99" s="10" t="inlineStr"/>
      <c r="J99" s="10" t="inlineStr">
        <is>
          <t>Cerrado - depuración</t>
        </is>
      </c>
      <c r="K99" s="10" t="inlineStr"/>
      <c r="L99" s="10" t="inlineStr"/>
      <c r="M99" s="10" t="inlineStr"/>
      <c r="N99" s="10" t="inlineStr"/>
      <c r="O99" s="10" t="inlineStr">
        <is>
          <t>Alta (Ethos)</t>
        </is>
      </c>
      <c r="P99" s="10" t="inlineStr">
        <is>
          <t>2026-10-04</t>
        </is>
      </c>
      <c r="Q99" s="10" t="inlineStr">
        <is>
          <t>Revisión Ethos del respaldo 658424 (v431_03_10_r1.zip del 2026-10-02).</t>
        </is>
      </c>
    </row>
    <row r="100">
      <c r="A100" s="9" t="inlineStr">
        <is>
          <t>C25</t>
        </is>
      </c>
      <c r="B100" s="10" t="inlineStr">
        <is>
          <t>Ethos</t>
        </is>
      </c>
      <c r="C100" s="17" t="inlineStr">
        <is>
          <t>-</t>
        </is>
      </c>
      <c r="D100" s="10" t="inlineStr">
        <is>
          <t>Inline forms consistentes con el código</t>
        </is>
      </c>
      <c r="E100" s="10" t="inlineStr">
        <is>
          <t>Código</t>
        </is>
      </c>
      <c r="F100" s="10" t="inlineStr">
        <is>
          <t>Programador robot</t>
        </is>
      </c>
      <c r="G100" s="10"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100" s="10" t="inlineStr">
        <is>
          <t>• Se cierra cuando se cierran F21, F31 y F32.</t>
        </is>
      </c>
      <c r="I100" s="10" t="inlineStr">
        <is>
          <t>F21, F31, F32</t>
        </is>
      </c>
      <c r="J100" s="10" t="inlineStr">
        <is>
          <t>Se cierra con otro punto</t>
        </is>
      </c>
      <c r="K100" s="10" t="inlineStr"/>
      <c r="L100" s="10" t="inlineStr"/>
      <c r="M100" s="10" t="inlineStr"/>
      <c r="N100" s="10" t="inlineStr"/>
      <c r="O100" s="10" t="inlineStr">
        <is>
          <t>Alta (Ethos)</t>
        </is>
      </c>
      <c r="P100" s="10" t="inlineStr">
        <is>
          <t>2026-10-04</t>
        </is>
      </c>
      <c r="Q100" s="10" t="inlineStr">
        <is>
          <t>Revisión Ethos del respaldo 658424 (v431_03_10_r1.zip del 2026-10-02).</t>
        </is>
      </c>
    </row>
    <row r="101">
      <c r="A101" s="9" t="inlineStr">
        <is>
          <t>C26</t>
        </is>
      </c>
      <c r="B101" s="10" t="inlineStr">
        <is>
          <t>Ethos</t>
        </is>
      </c>
      <c r="C101" s="17" t="inlineStr">
        <is>
          <t>-</t>
        </is>
      </c>
      <c r="D101" s="10" t="inlineStr">
        <is>
          <t>Solo inglés en comentarios, títulos de fold y &amp;COMMENT</t>
        </is>
      </c>
      <c r="E101" s="10" t="inlineStr">
        <is>
          <t>Sin acción</t>
        </is>
      </c>
      <c r="F101" s="10" t="inlineStr">
        <is>
          <t>Programador robot</t>
        </is>
      </c>
      <c r="G101"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101" s="10"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101" s="10" t="inlineStr"/>
      <c r="J101" s="10" t="inlineStr">
        <is>
          <t>Cerrado - depuración</t>
        </is>
      </c>
      <c r="K101" s="10" t="inlineStr"/>
      <c r="L101" s="10" t="inlineStr"/>
      <c r="M101" s="10" t="inlineStr"/>
      <c r="N101" s="10" t="inlineStr"/>
      <c r="O101" s="10" t="inlineStr">
        <is>
          <t>Alta (Ethos)</t>
        </is>
      </c>
      <c r="P101" s="10" t="inlineStr">
        <is>
          <t>2026-10-04</t>
        </is>
      </c>
      <c r="Q101" s="10" t="inlineStr">
        <is>
          <t>Revisión Ethos del respaldo 658424 (v431_03_10_r1.zip del 2026-10-02).</t>
        </is>
      </c>
    </row>
    <row r="102">
      <c r="A102" s="9" t="inlineStr">
        <is>
          <t>C27</t>
        </is>
      </c>
      <c r="B102" s="10" t="inlineStr">
        <is>
          <t>Ethos</t>
        </is>
      </c>
      <c r="C102" s="17" t="inlineStr">
        <is>
          <t>-</t>
        </is>
      </c>
      <c r="D102" s="10" t="inlineStr">
        <is>
          <t>Proceso controlado por robot no compartido; regla de dos procesos</t>
        </is>
      </c>
      <c r="E102" s="10" t="inlineStr">
        <is>
          <t>Sin acción</t>
        </is>
      </c>
      <c r="F102" s="10" t="inlineStr">
        <is>
          <t>Ethos (Edgar)</t>
        </is>
      </c>
      <c r="G102" s="10" t="inlineStr"/>
      <c r="H102" s="10" t="inlineStr">
        <is>
          <t>• Se reabre solo si R10 pasa de dos procesos o si otro robot empieza a usar el pedestal CenterLine.</t>
        </is>
      </c>
      <c r="I102" s="10" t="inlineStr"/>
      <c r="J102" s="10" t="inlineStr">
        <is>
          <t>No aplica</t>
        </is>
      </c>
      <c r="K102" s="10" t="inlineStr"/>
      <c r="L102" s="10" t="inlineStr"/>
      <c r="M102" s="10" t="inlineStr"/>
      <c r="N102" s="10" t="inlineStr"/>
      <c r="O102" s="10" t="inlineStr">
        <is>
          <t>Alta (Ethos)</t>
        </is>
      </c>
      <c r="P102" s="10" t="inlineStr">
        <is>
          <t>2026-10-04</t>
        </is>
      </c>
      <c r="Q102" s="10" t="inlineStr">
        <is>
          <t>Revisión Ethos del respaldo 658424 (v431_03_10_r1.zip del 2026-10-02).</t>
        </is>
      </c>
    </row>
    <row r="103">
      <c r="A103" s="15" t="inlineStr">
        <is>
          <t>C28</t>
        </is>
      </c>
      <c r="B103" s="5" t="inlineStr">
        <is>
          <t>Ethos</t>
        </is>
      </c>
      <c r="C103" s="18" t="inlineStr">
        <is>
          <t>-</t>
        </is>
      </c>
      <c r="D103" s="5" t="inlineStr">
        <is>
          <t>Ediciones del integrador en archivos del proveedor: listarlas en la entrega</t>
        </is>
      </c>
      <c r="E103" s="5" t="inlineStr">
        <is>
          <t>Procedimiento</t>
        </is>
      </c>
      <c r="F103" s="5" t="inlineStr">
        <is>
          <t>Ethos (Edgar) / Programador robot</t>
        </is>
      </c>
      <c r="G103"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103"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103" s="5" t="inlineStr">
        <is>
          <t>F12, F46, C09, C12, C14, C19, C20</t>
        </is>
      </c>
      <c r="J103" s="6" t="inlineStr">
        <is>
          <t>Abierto</t>
        </is>
      </c>
      <c r="K103" s="6" t="inlineStr"/>
      <c r="L103" s="6" t="inlineStr"/>
      <c r="M103" s="6" t="inlineStr"/>
      <c r="N103" s="6" t="inlineStr"/>
      <c r="O103" s="7" t="inlineStr">
        <is>
          <t>Integrado - ediciones listadas</t>
        </is>
      </c>
      <c r="P103" s="7" t="inlineStr">
        <is>
          <t>2026-10-05</t>
        </is>
      </c>
      <c r="Q103" s="7" t="inlineStr">
        <is>
          <t>Ediciones del proveedor integradas y declaradas en tools/code_changes.json: automationcoreroutines.src/.dat, nutweldroutines.dat.</t>
        </is>
      </c>
    </row>
  </sheetData>
  <autoFilter ref="A1:Q103"/>
  <conditionalFormatting sqref="A2:Q103">
    <cfRule type="expression" priority="1" dxfId="0" stopIfTrue="1">
      <formula>OR($J2="Cerrado - auditado",$J2="Cerrado - depuración",$J2="Aceptado sin cambio",$J2="No aplica",$J2="Sin acción - documentado",$J2="Se cierra con otro punto")</formula>
    </cfRule>
  </conditionalFormatting>
  <dataValidations count="1">
    <dataValidation sqref="J2:J103" showDropDown="0" showInputMessage="0" showErrorMessage="1" allowBlank="0" errorTitle="Estado" error="Elige un estado de la lista (hoja Instrucciones)." type="list">
      <formula1>"Abierto,Requiere decisión,En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0" customWidth="1" min="2" max="2"/>
    <col width="12" customWidth="1" min="3" max="3"/>
  </cols>
  <sheetData>
    <row r="1">
      <c r="A1" s="19" t="inlineStr">
        <is>
          <t>Resumen de puntos abiertos</t>
        </is>
      </c>
    </row>
    <row r="2">
      <c r="A2" s="20" t="inlineStr">
        <is>
          <t>Generado 2026-10-11 07:29 (hora del centro de México)</t>
        </is>
      </c>
    </row>
    <row r="3">
      <c r="A3" s="21" t="inlineStr">
        <is>
          <t>Estado</t>
        </is>
      </c>
      <c r="B3" s="21" t="inlineStr">
        <is>
          <t>Puntos</t>
        </is>
      </c>
    </row>
    <row r="4">
      <c r="A4" s="22" t="inlineStr">
        <is>
          <t>Abierto</t>
        </is>
      </c>
      <c r="B4" s="22">
        <f>COUNTIF('Puntos abiertos'!$J$2:$J$103,A4)</f>
        <v/>
      </c>
    </row>
    <row r="5">
      <c r="A5" s="22" t="inlineStr">
        <is>
          <t>Requiere decisión</t>
        </is>
      </c>
      <c r="B5" s="22">
        <f>COUNTIF('Puntos abiertos'!$J$2:$J$103,A5)</f>
        <v/>
      </c>
    </row>
    <row r="6">
      <c r="A6" s="22" t="inlineStr">
        <is>
          <t>En proceso</t>
        </is>
      </c>
      <c r="B6" s="22">
        <f>COUNTIF('Puntos abiertos'!$J$2:$J$103,A6)</f>
        <v/>
      </c>
    </row>
    <row r="7">
      <c r="A7" s="22" t="inlineStr">
        <is>
          <t>Corregido - por auditar</t>
        </is>
      </c>
      <c r="B7" s="22">
        <f>COUNTIF('Puntos abiertos'!$J$2:$J$103,A7)</f>
        <v/>
      </c>
    </row>
    <row r="8">
      <c r="A8" s="22" t="inlineStr">
        <is>
          <t>Cerrado - auditado</t>
        </is>
      </c>
      <c r="B8" s="22">
        <f>COUNTIF('Puntos abiertos'!$J$2:$J$103,A8)</f>
        <v/>
      </c>
    </row>
    <row r="9">
      <c r="A9" s="22" t="inlineStr">
        <is>
          <t>Reabierto</t>
        </is>
      </c>
      <c r="B9" s="22">
        <f>COUNTIF('Puntos abiertos'!$J$2:$J$103,A9)</f>
        <v/>
      </c>
    </row>
    <row r="10">
      <c r="A10" s="22" t="inlineStr">
        <is>
          <t>Aceptado sin cambio</t>
        </is>
      </c>
      <c r="B10" s="22">
        <f>COUNTIF('Puntos abiertos'!$J$2:$J$103,A10)</f>
        <v/>
      </c>
    </row>
    <row r="11">
      <c r="A11" s="22" t="inlineStr">
        <is>
          <t>Cerrado - depuración</t>
        </is>
      </c>
      <c r="B11" s="22">
        <f>COUNTIF('Puntos abiertos'!$J$2:$J$103,A11)</f>
        <v/>
      </c>
    </row>
    <row r="12">
      <c r="A12" s="22" t="inlineStr">
        <is>
          <t>No aplica</t>
        </is>
      </c>
      <c r="B12" s="22">
        <f>COUNTIF('Puntos abiertos'!$J$2:$J$103,A12)</f>
        <v/>
      </c>
    </row>
    <row r="13">
      <c r="A13" s="22" t="inlineStr">
        <is>
          <t>Sin acción - documentado</t>
        </is>
      </c>
      <c r="B13" s="22">
        <f>COUNTIF('Puntos abiertos'!$J$2:$J$103,A13)</f>
        <v/>
      </c>
    </row>
    <row r="14">
      <c r="A14" s="22" t="inlineStr">
        <is>
          <t>Se cierra con otro punto</t>
        </is>
      </c>
      <c r="B14" s="22">
        <f>COUNTIF('Puntos abiertos'!$J$2:$J$103,A14)</f>
        <v/>
      </c>
    </row>
    <row r="15">
      <c r="A15" s="23" t="inlineStr">
        <is>
          <t>Total</t>
        </is>
      </c>
      <c r="B15" s="23">
        <f>SUM(B4:B14)</f>
        <v/>
      </c>
    </row>
    <row r="17">
      <c r="A17" s="21" t="inlineStr">
        <is>
          <t>Severidad</t>
        </is>
      </c>
      <c r="B17" s="21" t="inlineStr">
        <is>
          <t>Total</t>
        </is>
      </c>
      <c r="C17" s="21" t="inlineStr">
        <is>
          <t>Pendientes</t>
        </is>
      </c>
    </row>
    <row r="18">
      <c r="A18" s="22" t="inlineStr">
        <is>
          <t>Crítico</t>
        </is>
      </c>
      <c r="B18" s="22">
        <f>COUNTIF('Puntos abiertos'!$C$2:$C$103,A18)</f>
        <v/>
      </c>
      <c r="C18" s="22">
        <f>COUNTIFS('Puntos abiertos'!$C$2:$C$103,A18,'Puntos abiertos'!$J$2:$J$103,"Abierto")+COUNTIFS('Puntos abiertos'!$C$2:$C$103,A18,'Puntos abiertos'!$J$2:$J$103,"Requiere decisión")+COUNTIFS('Puntos abiertos'!$C$2:$C$103,A18,'Puntos abiertos'!$J$2:$J$103,"En proceso")+COUNTIFS('Puntos abiertos'!$C$2:$C$103,A18,'Puntos abiertos'!$J$2:$J$103,"Corregido - por auditar")+COUNTIFS('Puntos abiertos'!$C$2:$C$103,A18,'Puntos abiertos'!$J$2:$J$103,"Reabierto")</f>
        <v/>
      </c>
    </row>
    <row r="19">
      <c r="A19" s="22" t="inlineStr">
        <is>
          <t>Alto</t>
        </is>
      </c>
      <c r="B19" s="22">
        <f>COUNTIF('Puntos abiertos'!$C$2:$C$103,A19)</f>
        <v/>
      </c>
      <c r="C19" s="22">
        <f>COUNTIFS('Puntos abiertos'!$C$2:$C$103,A19,'Puntos abiertos'!$J$2:$J$103,"Abierto")+COUNTIFS('Puntos abiertos'!$C$2:$C$103,A19,'Puntos abiertos'!$J$2:$J$103,"Requiere decisión")+COUNTIFS('Puntos abiertos'!$C$2:$C$103,A19,'Puntos abiertos'!$J$2:$J$103,"En proceso")+COUNTIFS('Puntos abiertos'!$C$2:$C$103,A19,'Puntos abiertos'!$J$2:$J$103,"Corregido - por auditar")+COUNTIFS('Puntos abiertos'!$C$2:$C$103,A19,'Puntos abiertos'!$J$2:$J$103,"Reabierto")</f>
        <v/>
      </c>
    </row>
    <row r="20">
      <c r="A20" s="22" t="inlineStr">
        <is>
          <t>Medio</t>
        </is>
      </c>
      <c r="B20" s="22">
        <f>COUNTIF('Puntos abiertos'!$C$2:$C$103,A20)</f>
        <v/>
      </c>
      <c r="C20" s="22">
        <f>COUNTIFS('Puntos abiertos'!$C$2:$C$103,A20,'Puntos abiertos'!$J$2:$J$103,"Abierto")+COUNTIFS('Puntos abiertos'!$C$2:$C$103,A20,'Puntos abiertos'!$J$2:$J$103,"Requiere decisión")+COUNTIFS('Puntos abiertos'!$C$2:$C$103,A20,'Puntos abiertos'!$J$2:$J$103,"En proceso")+COUNTIFS('Puntos abiertos'!$C$2:$C$103,A20,'Puntos abiertos'!$J$2:$J$103,"Corregido - por auditar")+COUNTIFS('Puntos abiertos'!$C$2:$C$103,A20,'Puntos abiertos'!$J$2:$J$103,"Reabierto")</f>
        <v/>
      </c>
    </row>
    <row r="21">
      <c r="A21" s="22" t="inlineStr">
        <is>
          <t>Bajo</t>
        </is>
      </c>
      <c r="B21" s="22">
        <f>COUNTIF('Puntos abiertos'!$C$2:$C$103,A21)</f>
        <v/>
      </c>
      <c r="C21" s="22">
        <f>COUNTIFS('Puntos abiertos'!$C$2:$C$103,A21,'Puntos abiertos'!$J$2:$J$103,"Abierto")+COUNTIFS('Puntos abiertos'!$C$2:$C$103,A21,'Puntos abiertos'!$J$2:$J$103,"Requiere decisión")+COUNTIFS('Puntos abiertos'!$C$2:$C$103,A21,'Puntos abiertos'!$J$2:$J$103,"En proceso")+COUNTIFS('Puntos abiertos'!$C$2:$C$103,A21,'Puntos abiertos'!$J$2:$J$103,"Corregido - por auditar")+COUNTIFS('Puntos abiertos'!$C$2:$C$103,A21,'Puntos abiertos'!$J$2:$J$103,"Reabierto")</f>
        <v/>
      </c>
    </row>
    <row r="23">
      <c r="A23" s="21" t="inlineStr">
        <is>
          <t>Origen</t>
        </is>
      </c>
      <c r="B23" s="21" t="inlineStr">
        <is>
          <t>Total</t>
        </is>
      </c>
      <c r="C23" s="21" t="inlineStr">
        <is>
          <t>Pendientes</t>
        </is>
      </c>
    </row>
    <row r="24">
      <c r="A24" s="22" t="inlineStr">
        <is>
          <t>Gestamp</t>
        </is>
      </c>
      <c r="B24" s="22">
        <f>COUNTIF('Puntos abiertos'!$B$2:$B$103,"Gestamp*")</f>
        <v/>
      </c>
      <c r="C24" s="22">
        <f>COUNTIFS('Puntos abiertos'!$B$2:$B$103,"Gestamp*",'Puntos abiertos'!$J$2:$J$103,"Abierto")+COUNTIFS('Puntos abiertos'!$B$2:$B$103,"Gestamp*",'Puntos abiertos'!$J$2:$J$103,"Requiere decisión")+COUNTIFS('Puntos abiertos'!$B$2:$B$103,"Gestamp*",'Puntos abiertos'!$J$2:$J$103,"En proceso")+COUNTIFS('Puntos abiertos'!$B$2:$B$103,"Gestamp*",'Puntos abiertos'!$J$2:$J$103,"Corregido - por auditar")+COUNTIFS('Puntos abiertos'!$B$2:$B$103,"Gestamp*",'Puntos abiertos'!$J$2:$J$103,"Reabierto")</f>
        <v/>
      </c>
    </row>
    <row r="25">
      <c r="A25" s="22" t="inlineStr">
        <is>
          <t>Ethos</t>
        </is>
      </c>
      <c r="B25" s="22">
        <f>COUNTIF('Puntos abiertos'!$B$2:$B$103,"Ethos")</f>
        <v/>
      </c>
      <c r="C25" s="22">
        <f>COUNTIFS('Puntos abiertos'!$B$2:$B$103,"Ethos",'Puntos abiertos'!$J$2:$J$103,"Abierto")+COUNTIFS('Puntos abiertos'!$B$2:$B$103,"Ethos",'Puntos abiertos'!$J$2:$J$103,"Requiere decisión")+COUNTIFS('Puntos abiertos'!$B$2:$B$103,"Ethos",'Puntos abiertos'!$J$2:$J$103,"En proceso")+COUNTIFS('Puntos abiertos'!$B$2:$B$103,"Ethos",'Puntos abiertos'!$J$2:$J$103,"Corregido - por auditar")+COUNTIFS('Puntos abiertos'!$B$2:$B$103,"Ethos",'Puntos abiertos'!$J$2:$J$103,"Reabierto")</f>
        <v/>
      </c>
    </row>
    <row r="26">
      <c r="A26" s="22" t="inlineStr">
        <is>
          <t>Calvin (Ethos)</t>
        </is>
      </c>
      <c r="B26" s="22">
        <f>COUNTIF('Puntos abiertos'!$B$2:$B$103,"Calvin*")</f>
        <v/>
      </c>
      <c r="C26" s="22">
        <f>COUNTIFS('Puntos abiertos'!$B$2:$B$103,"Calvin*",'Puntos abiertos'!$J$2:$J$103,"Abierto")+COUNTIFS('Puntos abiertos'!$B$2:$B$103,"Calvin*",'Puntos abiertos'!$J$2:$J$103,"Requiere decisión")+COUNTIFS('Puntos abiertos'!$B$2:$B$103,"Calvin*",'Puntos abiertos'!$J$2:$J$103,"En proceso")+COUNTIFS('Puntos abiertos'!$B$2:$B$103,"Calvin*",'Puntos abiertos'!$J$2:$J$103,"Corregido - por auditar")+COUNTIFS('Puntos abiertos'!$B$2:$B$103,"Calvin*",'Puntos abiertos'!$J$2:$J$103,"Reabierto")</f>
        <v/>
      </c>
    </row>
    <row r="28">
      <c r="A28" s="20" t="inlineStr">
        <is>
          <t>Pendientes = Abierto, Requiere decisión,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20" customWidth="1" min="1" max="1"/>
  </cols>
  <sheetData>
    <row r="1">
      <c r="A1" s="24" t="inlineStr">
        <is>
          <t>Cómo usar esta lista</t>
        </is>
      </c>
    </row>
    <row r="2">
      <c r="A2" s="25" t="inlineStr">
        <is>
          <t>1. Trabaja los puntos en el programa del robot. Respeta docs/CONVENTIONS.md del repositorio: comentarios en inglés con la señal nombrada ($OUT[n] nombre), sin código comentado, sin reabrir inline forms que tengan líneas escritas a mano.</t>
        </is>
      </c>
    </row>
    <row r="3">
      <c r="A3" s="25" t="inlineStr">
        <is>
          <t>2. En la hoja "Puntos abiertos" llena SOLO las columnas amarillas de los puntos que trabajaste: Estado, Qué cambió el programador, Módulos modificados, Evidencia / prueba en celda, Fecha programador.</t>
        </is>
      </c>
    </row>
    <row r="4">
      <c r="A4" s="25" t="inlineStr">
        <is>
          <t>3. Estado: pon "En proceso" si empezaste y no está listo, o "Corregido - por auditar" si el cambio está hecho y probado. No pongas Cerrado: lo pone la auditoría.</t>
        </is>
      </c>
    </row>
    <row r="5">
      <c r="A5" s="25" t="inlineStr">
        <is>
          <t>4. La evidencia es lo que pide el criterio de cierre: prueba en celda con fecha y resultado, valor leído en el smartPAD, documento de Gestamp. Sin evidencia el punto se reabre.</t>
        </is>
      </c>
    </row>
    <row r="6">
      <c r="A6" s="25"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25" t="inlineStr"/>
    </row>
    <row r="8">
      <c r="A8" s="24" t="inlineStr">
        <is>
          <t>Ejemplo de una fila llenada (formato esperado)</t>
        </is>
      </c>
    </row>
    <row r="9">
      <c r="A9" s="25" t="inlineStr">
        <is>
          <t>Estado: Corregido - por auditar</t>
        </is>
      </c>
    </row>
    <row r="10">
      <c r="A10" s="25" t="inlineStr">
        <is>
          <t>Qué cambió el programador: style1app1opt1..3: espera supervisada antes del LIN de aproximación (gun open LPT &gt; 120000, $IN[466], $IN[482], NOT $IN[470]) con $TIMER[21] 3 s, mensaje y do004ProcessFault. PRELOAD paso 20 ahora espera $IN[482].</t>
        </is>
      </c>
    </row>
    <row r="11">
      <c r="A11" s="25" t="inlineStr">
        <is>
          <t>Módulos modificados: style1app1opt1.src ... style1app1opt3.src, PRELOAD.src</t>
        </is>
      </c>
    </row>
    <row r="12">
      <c r="A12" s="25" t="inlineStr">
        <is>
          <t>Evidencia / prueba en celda: 2026-10-06, T1 50 %: clamp cerrado a mano, el robot se detuvo antes de P22 con mensaje; con todo abierto el ciclo siguió normal. 3 ciclos en automático OK.</t>
        </is>
      </c>
    </row>
    <row r="13">
      <c r="A13" s="25" t="inlineStr">
        <is>
          <t>Fecha programador: 2026-10-06</t>
        </is>
      </c>
    </row>
    <row r="14">
      <c r="A14" s="25" t="inlineStr"/>
    </row>
    <row r="15">
      <c r="A15" s="24" t="inlineStr">
        <is>
          <t>Puntos de Gestamp</t>
        </is>
      </c>
    </row>
    <row r="16">
      <c r="A16" s="25"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F52 son solo del R10). La lista de Calvin se verificó punto por punto: los puntos que él también señaló dicen "Calvin #n" en Origen. Esta lista es la única que se usa.</t>
        </is>
      </c>
    </row>
    <row r="17">
      <c r="A17" s="25" t="inlineStr">
        <is>
          <t>Desde el 2026-10-11 la base es tu programa: no se carga ninguna versión de oficina. Cada respaldo se audita contra el anterior. En los puntos que la oficina había corregido, la Nota auditoría dice qué le falta a tu programa; el PDF y docs/OPEN_ITEMS.es.md traen qué hacer y, como referencia, cómo lo resolvió la oficina.</t>
        </is>
      </c>
    </row>
    <row r="18">
      <c r="A18" s="25" t="inlineStr">
        <is>
          <t>Fila completa en verde: punto cerrado (Cerrado, Aceptado sin cambio, No aplica, Sin acción o Se cierra con otro punto), aunque sea crítico. No hay que hacer nada en esas filas.</t>
        </is>
      </c>
    </row>
    <row r="19">
      <c r="A19" s="25" t="inlineStr">
        <is>
          <t>Las anotaciones que Edgar acuerda con el programador van en la columna "Qué cambió el programador".</t>
        </is>
      </c>
    </row>
    <row r="20">
      <c r="A20" s="25" t="inlineStr">
        <is>
          <t>Estándar: no se pide más de lo que hace el respaldo de Gestamp NUT07_10R1 (ver la Nota auditoría de cada punto).</t>
        </is>
      </c>
    </row>
    <row r="21">
      <c r="A21" s="25" t="inlineStr"/>
    </row>
    <row r="22">
      <c r="A22" s="24" t="inlineStr">
        <is>
          <t>Estados</t>
        </is>
      </c>
    </row>
    <row r="23">
      <c r="A23" s="22" t="inlineStr">
        <is>
          <t>Abierto: Pendiente de trabajar.</t>
        </is>
      </c>
    </row>
    <row r="24">
      <c r="A24" s="22" t="inlineStr">
        <is>
          <t>Requiere decisión: Falta información o decisión (Gestamp, seguridad, Ethos) antes de programar.</t>
        </is>
      </c>
    </row>
    <row r="25">
      <c r="A25" s="22" t="inlineStr">
        <is>
          <t>En proceso: Lo pone el programador: trabajo empezado.</t>
        </is>
      </c>
    </row>
    <row r="26">
      <c r="A26" s="22" t="inlineStr">
        <is>
          <t>Corregido - por auditar: Lo pone el programador: cambio hecho y probado, pide auditoría.</t>
        </is>
      </c>
    </row>
    <row r="27">
      <c r="A27" s="22" t="inlineStr">
        <is>
          <t>Cerrado - auditado: Lo pone la auditoría: cumple el criterio de cierre en el respaldo.</t>
        </is>
      </c>
    </row>
    <row r="28">
      <c r="A28" s="22" t="inlineStr">
        <is>
          <t>Reabierto: Lo pone la auditoría: no se encontró el cambio o no cumple (ver Nota auditoría).</t>
        </is>
      </c>
    </row>
    <row r="29">
      <c r="A29" s="22" t="inlineStr">
        <is>
          <t>Aceptado sin cambio: Ethos / Gestamp decidieron no corregir; queda la razón.</t>
        </is>
      </c>
    </row>
    <row r="30">
      <c r="A30" s="22" t="inlineStr">
        <is>
          <t>Cerrado - depuración: Resuelto por la depuración del 2026-10-04.</t>
        </is>
      </c>
    </row>
    <row r="31">
      <c r="A31" s="22" t="inlineStr">
        <is>
          <t>No aplica: El punto ya cumple.</t>
        </is>
      </c>
    </row>
    <row r="32">
      <c r="A32" s="22" t="inlineStr">
        <is>
          <t>Sin acción - documentado: Se deja como está; la nota dice cuándo se reabriría.</t>
        </is>
      </c>
    </row>
    <row r="33">
      <c r="A33" s="22" t="inlineStr">
        <is>
          <t>Se cierra con otro punto: Duplica otro punto (columna Depende de); se cierra con él.</t>
        </is>
      </c>
    </row>
    <row r="35">
      <c r="A35" s="26"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7" t="inlineStr">
        <is>
          <t>Fecha auditoría</t>
        </is>
      </c>
      <c r="B1" s="27" t="inlineStr">
        <is>
          <t>Respaldo</t>
        </is>
      </c>
      <c r="C1" s="27" t="inlineStr">
        <is>
          <t>Cerrados</t>
        </is>
      </c>
      <c r="D1" s="27" t="inlineStr">
        <is>
          <t>Reabiertos</t>
        </is>
      </c>
      <c r="E1" s="27" t="inlineStr">
        <is>
          <t>Cambios de código</t>
        </is>
      </c>
      <c r="F1" s="27" t="inlineStr">
        <is>
          <t>Notas</t>
        </is>
      </c>
    </row>
    <row r="2">
      <c r="A2" s="22" t="inlineStr">
        <is>
          <t>2026-10-04</t>
        </is>
      </c>
      <c r="B2" s="22" t="inlineStr">
        <is>
          <t>658424_R10 (versión de oficina, tools/build_archive.py)</t>
        </is>
      </c>
      <c r="C2" s="22" t="n">
        <v>0</v>
      </c>
      <c r="D2" s="22" t="n">
        <v>0</v>
      </c>
      <c r="E2" s="22" t="inlineStr">
        <is>
          <t>12 módulos con cambios de lógica, 8 equivalentes tras renombres, 1 borrado (centerline_loop.src), 2 movidos (Styles/optiones → Styles/Options), 104 idénticos (tools/check_equivalence.py contra la base fb8a4c8)</t>
        </is>
      </c>
      <c r="F2" s="22"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2" t="inlineStr">
        <is>
          <t>2026-10-05</t>
        </is>
      </c>
      <c r="B3" s="22" t="inlineStr">
        <is>
          <t>bmw_03_10_r1.zip (am.ini 2026-10-05 09:43, robot BMW_03_10_R1, serie 658424)</t>
        </is>
      </c>
      <c r="C3" s="22" t="n">
        <v>0</v>
      </c>
      <c r="D3" s="22" t="n">
        <v>0</v>
      </c>
      <c r="E3" s="22" t="inlineStr">
        <is>
          <t>62 archivos cambiados, 7 agregados (GUN_OPEN_CHECK, proyecto WorkVisual BMW-03-10R1_v8), 39 KRL con cambios de código (-230/+1323 líneas) contra el estado auditado (b5a8803)</t>
        </is>
      </c>
      <c r="F3" s="22"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2" t="inlineStr">
        <is>
          <t>2026-10-05</t>
        </is>
      </c>
      <c r="B4" s="22" t="inlineStr">
        <is>
          <t>658424_R10_2026-10-05_0819.zip (versión integrada, armada sobre bmw_03_10_r1.zip)</t>
        </is>
      </c>
      <c r="C4" s="22" t="n">
        <v>0</v>
      </c>
      <c r="D4" s="22" t="n">
        <v>0</v>
      </c>
      <c r="E4" s="22" t="inlineStr">
        <is>
          <t>Contra la depuración fb8a4c8: 26 KRL con cambios de código, 2 módulos nuevos (GUN_OPEN_CHECK.src/.dat), 22 archivos fuera; contra el repositorio: idéntico (308 entradas). audit_backup: 0 FAIL, 0 WARN.</t>
        </is>
      </c>
      <c r="F4" s="22"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2" t="inlineStr">
        <is>
          <t>2026-10-05</t>
        </is>
      </c>
      <c r="B5" s="22" t="inlineStr">
        <is>
          <t>bmw_03_10_r1.zip (am.ini 2026-10-05 14:46)</t>
        </is>
      </c>
      <c r="C5" s="22" t="n">
        <v>0</v>
      </c>
      <c r="D5" s="22" t="n">
        <v>0</v>
      </c>
      <c r="E5" s="22"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2"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22" t="inlineStr">
        <is>
          <t>2026-10-05</t>
        </is>
      </c>
      <c r="B6" s="22" t="inlineStr">
        <is>
          <t>R10_paquete_2026-10-05_1351.zip (versión integrada sobre el respaldo de las 14:46; zip completo 658424_R10_2026-10-05_1351)</t>
        </is>
      </c>
      <c r="C6" s="22" t="n">
        <v>0</v>
      </c>
      <c r="D6" s="22" t="n">
        <v>0</v>
      </c>
      <c r="E6" s="22" t="inlineStr">
        <is>
          <t>Contra el respaldo de las 14:46: 57 programas a reemplazar, 2 a agregar (Styles/Options), 24 a borrar. Contra la depuración fb8a4c8: 38 KRL con cambios de código; audit_backup 0 FAIL, 0 WARN; zip idéntico al repositorio.</t>
        </is>
      </c>
      <c r="F6" s="22"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row r="7">
      <c r="A7" s="22" t="inlineStr">
        <is>
          <t>2026-10-07</t>
        </is>
      </c>
      <c r="B7" s="22" t="inlineStr">
        <is>
          <t>R10_paquete_2026-10-07_1341.zip (etapa 1 de tiempo ciclo sobre el respaldo de las 14:46 del 2026-10-05; incluye todo el paquete del 2026-10-05; zip completo 658424_R10_2026-10-07_1340)</t>
        </is>
      </c>
      <c r="C7" s="22" t="n">
        <v>0</v>
      </c>
      <c r="D7" s="22" t="n">
        <v>0</v>
      </c>
      <c r="E7" s="22" t="inlineStr">
        <is>
          <t>Contra el respaldo de las 14:46: 57 programas a reemplazar, 4 a agregar (Styles/Options y CL_CYCLE_TIME), 24 a borrar. Contra la entrega del 2026-10-05: 11 KRL con cambios de código (PRELOAD, CENTERLINE_WELD, Request_next_nut, las 6 apps de soldadura, $config.dat, CL_CYCLE_TIME nuevo); audit_backup 0 FAIL, 0 WARN; zip idéntico al repositorio.</t>
        </is>
      </c>
      <c r="F7" s="22" t="inlineStr">
        <is>
          <t>F52 etapa 1: la siguiente tuerca se alimenta al shuttle mientras el robot entra y suelda y se carga al pin a la salida (app 1 en P8, app 2 en P05); paso 20 con QFP regresado confirmado; medición de tiempos CL_CYCLE_TIME ($TIMER[20]). Dos revisores independientes (lógica de precarga, compilación y medición): sin errores de compilación ni rutas del ciclo normal con el shuttle en movimiento con la pieza en el pedestal; sus correcciones aplicadas antes de la entrega. Reporte en audits/2026-10-07_tiempo_ciclo (contra la entrega del 2026-10-05, 1b28a7e).</t>
        </is>
      </c>
    </row>
    <row r="8">
      <c r="A8" s="22" t="inlineStr">
        <is>
          <t>2026-10-11</t>
        </is>
      </c>
      <c r="B8" s="22" t="inlineStr">
        <is>
          <t>bmw_03_10_r1.zip del 2026-10-05 14:46 (sin respaldo nuevo): pasa a ser la base, commit 468e29f</t>
        </is>
      </c>
      <c r="C8" s="22" t="n">
        <v>0</v>
      </c>
      <c r="D8" s="22" t="n">
        <v>0</v>
      </c>
      <c r="E8" s="22" t="inlineStr">
        <is>
          <t>Cambio de base por decisión de Edgar (igual que R20): el programa del programador es el estado auditado, importado byte por byte; la versión de oficina queda en 84442ac como referencia. La auditoría de su respaldo contra la nueva base: 336 entradas sin cambio, 0 FAIL, 0 WARN.</t>
        </is>
      </c>
      <c r="F8" s="22" t="inlineStr">
        <is>
          <t>Los 16 puntos 'Corregido en oficina' se revisaron contra su programa (G11 cerrado; F30 en proceso; G04, F24, F28 y F32 se cierran con otro punto; el resto abierto). Estándar de Gestamp NUT07_10R1 aplicado por analogía con R20 (G08, G09, G18, F08, F49 y C12 aceptados sin cambio; C01 y C19 cerrados; G10, F02 y C14 con otro punto). Los 12 módulos sobrantes se siguen solo en G05. Registro en audits/2026-10-11_estandar_gestamp.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2026-10-11T13:29:34Z</dcterms:created>
  <dcterms:modified xsi:type="dcterms:W3CDTF">2026-10-11T13:29:34Z</dcterms:modified>
</cp:coreProperties>
</file>